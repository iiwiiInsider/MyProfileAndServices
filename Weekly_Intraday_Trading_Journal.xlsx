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Weekly Summary" sheetId="2" state="visible" r:id="rId2"/>
    <sheet name="Monthly Summary" sheetId="3" state="visible" r:id="rId3"/>
    <sheet name="Statistics" sheetId="4" state="visible" r:id="rId4"/>
    <sheet name="Setup 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R #,##0.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6"/>
    </font>
    <font>
      <b val="1"/>
    </font>
    <font>
      <b val="1"/>
      <color rgb="00366092"/>
      <sz val="14"/>
    </font>
    <font>
      <b val="1"/>
      <color rgb="00FFFFFF"/>
    </font>
    <font>
      <b val="1"/>
      <color rgb="00366092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0" fontId="5" fillId="2" borderId="0" pivotButton="0" quotePrefix="0" xfId="0"/>
    <xf numFmtId="0" fontId="7" fillId="0" borderId="0" pivotButton="0" quotePrefix="0" xfId="0"/>
    <xf numFmtId="0" fontId="5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2" customWidth="1" min="17" max="17"/>
    <col width="20" customWidth="1" min="18" max="18"/>
    <col width="15" customWidth="1" min="19" max="19"/>
    <col width="30" customWidth="1" min="20" max="20"/>
    <col width="15" customWidth="1" min="21" max="21"/>
    <col width="15" customWidth="1" min="22" max="22"/>
    <col width="30" customWidth="1" min="23" max="23"/>
  </cols>
  <sheetData>
    <row r="1">
      <c r="A1" s="1" t="inlineStr">
        <is>
          <t>Trade 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Time In</t>
        </is>
      </c>
      <c r="E1" s="1" t="inlineStr">
        <is>
          <t>Time Out</t>
        </is>
      </c>
      <c r="F1" s="1" t="inlineStr">
        <is>
          <t>Symbol</t>
        </is>
      </c>
      <c r="G1" s="1" t="inlineStr">
        <is>
          <t>Direction</t>
        </is>
      </c>
      <c r="H1" s="1" t="inlineStr">
        <is>
          <t>Entry Price</t>
        </is>
      </c>
      <c r="I1" s="1" t="inlineStr">
        <is>
          <t>Exit Price</t>
        </is>
      </c>
      <c r="J1" s="1" t="inlineStr">
        <is>
          <t>Position Size</t>
        </is>
      </c>
      <c r="K1" s="1" t="inlineStr">
        <is>
          <t>Stop Loss</t>
        </is>
      </c>
      <c r="L1" s="1" t="inlineStr">
        <is>
          <t>Take Profit</t>
        </is>
      </c>
      <c r="M1" s="1" t="inlineStr">
        <is>
          <t>P&amp;L (R)</t>
        </is>
      </c>
      <c r="N1" s="1" t="inlineStr">
        <is>
          <t>P&amp;L (%)</t>
        </is>
      </c>
      <c r="O1" s="1" t="inlineStr">
        <is>
          <t>Risk/Reward</t>
        </is>
      </c>
      <c r="P1" s="1" t="inlineStr">
        <is>
          <t>Fees</t>
        </is>
      </c>
      <c r="Q1" s="1" t="inlineStr">
        <is>
          <t>Net P&amp;L</t>
        </is>
      </c>
      <c r="R1" s="1" t="inlineStr">
        <is>
          <t>Setup/Strategy</t>
        </is>
      </c>
      <c r="S1" s="1" t="inlineStr">
        <is>
          <t>Market Condition</t>
        </is>
      </c>
      <c r="T1" s="1" t="inlineStr">
        <is>
          <t>Notes</t>
        </is>
      </c>
      <c r="U1" s="1" t="inlineStr">
        <is>
          <t>Emotions</t>
        </is>
      </c>
      <c r="V1" s="1" t="inlineStr">
        <is>
          <t>Mistakes</t>
        </is>
      </c>
      <c r="W1" s="1" t="inlineStr">
        <is>
          <t>Lessons Learned</t>
        </is>
      </c>
    </row>
    <row r="2" ht="20" customHeight="1">
      <c r="A2" t="n">
        <v>1</v>
      </c>
      <c r="C2">
        <f>IF(B2="","",TEXT(B2,"dddd"))</f>
        <v/>
      </c>
      <c r="M2">
        <f>IF(G2="Long",(I2-H2)*J2,IF(G2="Short",(H2-I2)*J2,""))</f>
        <v/>
      </c>
      <c r="N2">
        <f>IF(H2=0,"",M2/(H2*J2)*100)</f>
        <v/>
      </c>
      <c r="O2">
        <f>IF(AND(K2&lt;&gt;"",L2&lt;&gt;""),IF(G2="Long",(L2-H2)/(H2-K2),IF(G2="Short",(H2-L2)/(K2-H2),"")),"")</f>
        <v/>
      </c>
      <c r="Q2">
        <f>M2-P2</f>
        <v/>
      </c>
    </row>
    <row r="3">
      <c r="A3" t="n">
        <v>2</v>
      </c>
      <c r="C3">
        <f>IF(B3="","",TEXT(B3,"dddd"))</f>
        <v/>
      </c>
      <c r="M3">
        <f>IF(G3="Long",(I3-H3)*J3,IF(G3="Short",(H3-I3)*J3,""))</f>
        <v/>
      </c>
      <c r="N3">
        <f>IF(H3=0,"",M3/(H3*J3)*100)</f>
        <v/>
      </c>
      <c r="O3">
        <f>IF(AND(K3&lt;&gt;"",L3&lt;&gt;""),IF(G3="Long",(L3-H3)/(H3-K3),IF(G3="Short",(H3-L3)/(K3-H3),"")),"")</f>
        <v/>
      </c>
      <c r="Q3">
        <f>M3-P3</f>
        <v/>
      </c>
    </row>
    <row r="4">
      <c r="A4" t="n">
        <v>3</v>
      </c>
      <c r="C4">
        <f>IF(B4="","",TEXT(B4,"dddd"))</f>
        <v/>
      </c>
      <c r="M4">
        <f>IF(G4="Long",(I4-H4)*J4,IF(G4="Short",(H4-I4)*J4,""))</f>
        <v/>
      </c>
      <c r="N4">
        <f>IF(H4=0,"",M4/(H4*J4)*100)</f>
        <v/>
      </c>
      <c r="O4">
        <f>IF(AND(K4&lt;&gt;"",L4&lt;&gt;""),IF(G4="Long",(L4-H4)/(H4-K4),IF(G4="Short",(H4-L4)/(K4-H4),"")),"")</f>
        <v/>
      </c>
      <c r="Q4">
        <f>M4-P4</f>
        <v/>
      </c>
    </row>
    <row r="5">
      <c r="A5" t="n">
        <v>4</v>
      </c>
      <c r="C5">
        <f>IF(B5="","",TEXT(B5,"dddd"))</f>
        <v/>
      </c>
      <c r="M5">
        <f>IF(G5="Long",(I5-H5)*J5,IF(G5="Short",(H5-I5)*J5,""))</f>
        <v/>
      </c>
      <c r="N5">
        <f>IF(H5=0,"",M5/(H5*J5)*100)</f>
        <v/>
      </c>
      <c r="O5">
        <f>IF(AND(K5&lt;&gt;"",L5&lt;&gt;""),IF(G5="Long",(L5-H5)/(H5-K5),IF(G5="Short",(H5-L5)/(K5-H5),"")),"")</f>
        <v/>
      </c>
      <c r="Q5">
        <f>M5-P5</f>
        <v/>
      </c>
    </row>
    <row r="6">
      <c r="A6" t="n">
        <v>5</v>
      </c>
      <c r="C6">
        <f>IF(B6="","",TEXT(B6,"dddd"))</f>
        <v/>
      </c>
      <c r="M6">
        <f>IF(G6="Long",(I6-H6)*J6,IF(G6="Short",(H6-I6)*J6,""))</f>
        <v/>
      </c>
      <c r="N6">
        <f>IF(H6=0,"",M6/(H6*J6)*100)</f>
        <v/>
      </c>
      <c r="O6">
        <f>IF(AND(K6&lt;&gt;"",L6&lt;&gt;""),IF(G6="Long",(L6-H6)/(H6-K6),IF(G6="Short",(H6-L6)/(K6-H6),"")),"")</f>
        <v/>
      </c>
      <c r="Q6">
        <f>M6-P6</f>
        <v/>
      </c>
    </row>
    <row r="7">
      <c r="A7" t="n">
        <v>6</v>
      </c>
      <c r="C7">
        <f>IF(B7="","",TEXT(B7,"dddd"))</f>
        <v/>
      </c>
      <c r="M7">
        <f>IF(G7="Long",(I7-H7)*J7,IF(G7="Short",(H7-I7)*J7,""))</f>
        <v/>
      </c>
      <c r="N7">
        <f>IF(H7=0,"",M7/(H7*J7)*100)</f>
        <v/>
      </c>
      <c r="O7">
        <f>IF(AND(K7&lt;&gt;"",L7&lt;&gt;""),IF(G7="Long",(L7-H7)/(H7-K7),IF(G7="Short",(H7-L7)/(K7-H7),"")),"")</f>
        <v/>
      </c>
      <c r="Q7">
        <f>M7-P7</f>
        <v/>
      </c>
    </row>
    <row r="8">
      <c r="A8" t="n">
        <v>7</v>
      </c>
      <c r="C8">
        <f>IF(B8="","",TEXT(B8,"dddd"))</f>
        <v/>
      </c>
      <c r="M8">
        <f>IF(G8="Long",(I8-H8)*J8,IF(G8="Short",(H8-I8)*J8,""))</f>
        <v/>
      </c>
      <c r="N8">
        <f>IF(H8=0,"",M8/(H8*J8)*100)</f>
        <v/>
      </c>
      <c r="O8">
        <f>IF(AND(K8&lt;&gt;"",L8&lt;&gt;""),IF(G8="Long",(L8-H8)/(H8-K8),IF(G8="Short",(H8-L8)/(K8-H8),"")),"")</f>
        <v/>
      </c>
      <c r="Q8">
        <f>M8-P8</f>
        <v/>
      </c>
    </row>
    <row r="9">
      <c r="A9" t="n">
        <v>8</v>
      </c>
      <c r="C9">
        <f>IF(B9="","",TEXT(B9,"dddd"))</f>
        <v/>
      </c>
      <c r="M9">
        <f>IF(G9="Long",(I9-H9)*J9,IF(G9="Short",(H9-I9)*J9,""))</f>
        <v/>
      </c>
      <c r="N9">
        <f>IF(H9=0,"",M9/(H9*J9)*100)</f>
        <v/>
      </c>
      <c r="O9">
        <f>IF(AND(K9&lt;&gt;"",L9&lt;&gt;""),IF(G9="Long",(L9-H9)/(H9-K9),IF(G9="Short",(H9-L9)/(K9-H9),"")),"")</f>
        <v/>
      </c>
      <c r="Q9">
        <f>M9-P9</f>
        <v/>
      </c>
    </row>
    <row r="10">
      <c r="A10" t="n">
        <v>9</v>
      </c>
      <c r="C10">
        <f>IF(B10="","",TEXT(B10,"dddd"))</f>
        <v/>
      </c>
      <c r="M10">
        <f>IF(G10="Long",(I10-H10)*J10,IF(G10="Short",(H10-I10)*J10,""))</f>
        <v/>
      </c>
      <c r="N10">
        <f>IF(H10=0,"",M10/(H10*J10)*100)</f>
        <v/>
      </c>
      <c r="O10">
        <f>IF(AND(K10&lt;&gt;"",L10&lt;&gt;""),IF(G10="Long",(L10-H10)/(H10-K10),IF(G10="Short",(H10-L10)/(K10-H10),"")),"")</f>
        <v/>
      </c>
      <c r="Q10">
        <f>M10-P10</f>
        <v/>
      </c>
    </row>
    <row r="11">
      <c r="A11" t="n">
        <v>10</v>
      </c>
      <c r="C11">
        <f>IF(B11="","",TEXT(B11,"dddd"))</f>
        <v/>
      </c>
      <c r="M11">
        <f>IF(G11="Long",(I11-H11)*J11,IF(G11="Short",(H11-I11)*J11,""))</f>
        <v/>
      </c>
      <c r="N11">
        <f>IF(H11=0,"",M11/(H11*J11)*100)</f>
        <v/>
      </c>
      <c r="O11">
        <f>IF(AND(K11&lt;&gt;"",L11&lt;&gt;""),IF(G11="Long",(L11-H11)/(H11-K11),IF(G11="Short",(H11-L11)/(K11-H11),"")),"")</f>
        <v/>
      </c>
      <c r="Q11">
        <f>M11-P11</f>
        <v/>
      </c>
    </row>
    <row r="12">
      <c r="A12" t="n">
        <v>11</v>
      </c>
      <c r="C12">
        <f>IF(B12="","",TEXT(B12,"dddd"))</f>
        <v/>
      </c>
      <c r="M12">
        <f>IF(G12="Long",(I12-H12)*J12,IF(G12="Short",(H12-I12)*J12,""))</f>
        <v/>
      </c>
      <c r="N12">
        <f>IF(H12=0,"",M12/(H12*J12)*100)</f>
        <v/>
      </c>
      <c r="O12">
        <f>IF(AND(K12&lt;&gt;"",L12&lt;&gt;""),IF(G12="Long",(L12-H12)/(H12-K12),IF(G12="Short",(H12-L12)/(K12-H12),"")),"")</f>
        <v/>
      </c>
      <c r="Q12">
        <f>M12-P12</f>
        <v/>
      </c>
    </row>
    <row r="13">
      <c r="A13" t="n">
        <v>12</v>
      </c>
      <c r="C13">
        <f>IF(B13="","",TEXT(B13,"dddd"))</f>
        <v/>
      </c>
      <c r="M13">
        <f>IF(G13="Long",(I13-H13)*J13,IF(G13="Short",(H13-I13)*J13,""))</f>
        <v/>
      </c>
      <c r="N13">
        <f>IF(H13=0,"",M13/(H13*J13)*100)</f>
        <v/>
      </c>
      <c r="O13">
        <f>IF(AND(K13&lt;&gt;"",L13&lt;&gt;""),IF(G13="Long",(L13-H13)/(H13-K13),IF(G13="Short",(H13-L13)/(K13-H13),"")),"")</f>
        <v/>
      </c>
      <c r="Q13">
        <f>M13-P13</f>
        <v/>
      </c>
    </row>
    <row r="14">
      <c r="A14" t="n">
        <v>13</v>
      </c>
      <c r="C14">
        <f>IF(B14="","",TEXT(B14,"dddd"))</f>
        <v/>
      </c>
      <c r="M14">
        <f>IF(G14="Long",(I14-H14)*J14,IF(G14="Short",(H14-I14)*J14,""))</f>
        <v/>
      </c>
      <c r="N14">
        <f>IF(H14=0,"",M14/(H14*J14)*100)</f>
        <v/>
      </c>
      <c r="O14">
        <f>IF(AND(K14&lt;&gt;"",L14&lt;&gt;""),IF(G14="Long",(L14-H14)/(H14-K14),IF(G14="Short",(H14-L14)/(K14-H14),"")),"")</f>
        <v/>
      </c>
      <c r="Q14">
        <f>M14-P14</f>
        <v/>
      </c>
    </row>
    <row r="15">
      <c r="A15" t="n">
        <v>14</v>
      </c>
      <c r="C15">
        <f>IF(B15="","",TEXT(B15,"dddd"))</f>
        <v/>
      </c>
      <c r="M15">
        <f>IF(G15="Long",(I15-H15)*J15,IF(G15="Short",(H15-I15)*J15,""))</f>
        <v/>
      </c>
      <c r="N15">
        <f>IF(H15=0,"",M15/(H15*J15)*100)</f>
        <v/>
      </c>
      <c r="O15">
        <f>IF(AND(K15&lt;&gt;"",L15&lt;&gt;""),IF(G15="Long",(L15-H15)/(H15-K15),IF(G15="Short",(H15-L15)/(K15-H15),"")),"")</f>
        <v/>
      </c>
      <c r="Q15">
        <f>M15-P15</f>
        <v/>
      </c>
    </row>
    <row r="16">
      <c r="A16" t="n">
        <v>15</v>
      </c>
      <c r="C16">
        <f>IF(B16="","",TEXT(B16,"dddd"))</f>
        <v/>
      </c>
      <c r="M16">
        <f>IF(G16="Long",(I16-H16)*J16,IF(G16="Short",(H16-I16)*J16,""))</f>
        <v/>
      </c>
      <c r="N16">
        <f>IF(H16=0,"",M16/(H16*J16)*100)</f>
        <v/>
      </c>
      <c r="O16">
        <f>IF(AND(K16&lt;&gt;"",L16&lt;&gt;""),IF(G16="Long",(L16-H16)/(H16-K16),IF(G16="Short",(H16-L16)/(K16-H16),"")),"")</f>
        <v/>
      </c>
      <c r="Q16">
        <f>M16-P16</f>
        <v/>
      </c>
    </row>
    <row r="17">
      <c r="A17" t="n">
        <v>16</v>
      </c>
      <c r="C17">
        <f>IF(B17="","",TEXT(B17,"dddd"))</f>
        <v/>
      </c>
      <c r="M17">
        <f>IF(G17="Long",(I17-H17)*J17,IF(G17="Short",(H17-I17)*J17,""))</f>
        <v/>
      </c>
      <c r="N17">
        <f>IF(H17=0,"",M17/(H17*J17)*100)</f>
        <v/>
      </c>
      <c r="O17">
        <f>IF(AND(K17&lt;&gt;"",L17&lt;&gt;""),IF(G17="Long",(L17-H17)/(H17-K17),IF(G17="Short",(H17-L17)/(K17-H17),"")),"")</f>
        <v/>
      </c>
      <c r="Q17">
        <f>M17-P17</f>
        <v/>
      </c>
    </row>
    <row r="18">
      <c r="A18" t="n">
        <v>17</v>
      </c>
      <c r="C18">
        <f>IF(B18="","",TEXT(B18,"dddd"))</f>
        <v/>
      </c>
      <c r="M18">
        <f>IF(G18="Long",(I18-H18)*J18,IF(G18="Short",(H18-I18)*J18,""))</f>
        <v/>
      </c>
      <c r="N18">
        <f>IF(H18=0,"",M18/(H18*J18)*100)</f>
        <v/>
      </c>
      <c r="O18">
        <f>IF(AND(K18&lt;&gt;"",L18&lt;&gt;""),IF(G18="Long",(L18-H18)/(H18-K18),IF(G18="Short",(H18-L18)/(K18-H18),"")),"")</f>
        <v/>
      </c>
      <c r="Q18">
        <f>M18-P18</f>
        <v/>
      </c>
    </row>
    <row r="19">
      <c r="A19" t="n">
        <v>18</v>
      </c>
      <c r="C19">
        <f>IF(B19="","",TEXT(B19,"dddd"))</f>
        <v/>
      </c>
      <c r="M19">
        <f>IF(G19="Long",(I19-H19)*J19,IF(G19="Short",(H19-I19)*J19,""))</f>
        <v/>
      </c>
      <c r="N19">
        <f>IF(H19=0,"",M19/(H19*J19)*100)</f>
        <v/>
      </c>
      <c r="O19">
        <f>IF(AND(K19&lt;&gt;"",L19&lt;&gt;""),IF(G19="Long",(L19-H19)/(H19-K19),IF(G19="Short",(H19-L19)/(K19-H19),"")),"")</f>
        <v/>
      </c>
      <c r="Q19">
        <f>M19-P19</f>
        <v/>
      </c>
    </row>
    <row r="20">
      <c r="A20" t="n">
        <v>19</v>
      </c>
      <c r="C20">
        <f>IF(B20="","",TEXT(B20,"dddd"))</f>
        <v/>
      </c>
      <c r="M20">
        <f>IF(G20="Long",(I20-H20)*J20,IF(G20="Short",(H20-I20)*J20,""))</f>
        <v/>
      </c>
      <c r="N20">
        <f>IF(H20=0,"",M20/(H20*J20)*100)</f>
        <v/>
      </c>
      <c r="O20">
        <f>IF(AND(K20&lt;&gt;"",L20&lt;&gt;""),IF(G20="Long",(L20-H20)/(H20-K20),IF(G20="Short",(H20-L20)/(K20-H20),"")),"")</f>
        <v/>
      </c>
      <c r="Q20">
        <f>M20-P20</f>
        <v/>
      </c>
    </row>
    <row r="21">
      <c r="A21" t="n">
        <v>20</v>
      </c>
      <c r="C21">
        <f>IF(B21="","",TEXT(B21,"dddd"))</f>
        <v/>
      </c>
      <c r="M21">
        <f>IF(G21="Long",(I21-H21)*J21,IF(G21="Short",(H21-I21)*J21,""))</f>
        <v/>
      </c>
      <c r="N21">
        <f>IF(H21=0,"",M21/(H21*J21)*100)</f>
        <v/>
      </c>
      <c r="O21">
        <f>IF(AND(K21&lt;&gt;"",L21&lt;&gt;""),IF(G21="Long",(L21-H21)/(H21-K21),IF(G21="Short",(H21-L21)/(K21-H21),"")),"")</f>
        <v/>
      </c>
      <c r="Q21">
        <f>M21-P21</f>
        <v/>
      </c>
    </row>
    <row r="22">
      <c r="A22" t="n">
        <v>21</v>
      </c>
      <c r="C22">
        <f>IF(B22="","",TEXT(B22,"dddd"))</f>
        <v/>
      </c>
      <c r="M22">
        <f>IF(G22="Long",(I22-H22)*J22,IF(G22="Short",(H22-I22)*J22,""))</f>
        <v/>
      </c>
      <c r="N22">
        <f>IF(H22=0,"",M22/(H22*J22)*100)</f>
        <v/>
      </c>
      <c r="O22">
        <f>IF(AND(K22&lt;&gt;"",L22&lt;&gt;""),IF(G22="Long",(L22-H22)/(H22-K22),IF(G22="Short",(H22-L22)/(K22-H22),"")),"")</f>
        <v/>
      </c>
      <c r="Q22">
        <f>M22-P22</f>
        <v/>
      </c>
    </row>
    <row r="23">
      <c r="A23" t="n">
        <v>22</v>
      </c>
      <c r="C23">
        <f>IF(B23="","",TEXT(B23,"dddd"))</f>
        <v/>
      </c>
      <c r="M23">
        <f>IF(G23="Long",(I23-H23)*J23,IF(G23="Short",(H23-I23)*J23,""))</f>
        <v/>
      </c>
      <c r="N23">
        <f>IF(H23=0,"",M23/(H23*J23)*100)</f>
        <v/>
      </c>
      <c r="O23">
        <f>IF(AND(K23&lt;&gt;"",L23&lt;&gt;""),IF(G23="Long",(L23-H23)/(H23-K23),IF(G23="Short",(H23-L23)/(K23-H23),"")),"")</f>
        <v/>
      </c>
      <c r="Q23">
        <f>M23-P23</f>
        <v/>
      </c>
    </row>
    <row r="24">
      <c r="A24" t="n">
        <v>23</v>
      </c>
      <c r="C24">
        <f>IF(B24="","",TEXT(B24,"dddd"))</f>
        <v/>
      </c>
      <c r="M24">
        <f>IF(G24="Long",(I24-H24)*J24,IF(G24="Short",(H24-I24)*J24,""))</f>
        <v/>
      </c>
      <c r="N24">
        <f>IF(H24=0,"",M24/(H24*J24)*100)</f>
        <v/>
      </c>
      <c r="O24">
        <f>IF(AND(K24&lt;&gt;"",L24&lt;&gt;""),IF(G24="Long",(L24-H24)/(H24-K24),IF(G24="Short",(H24-L24)/(K24-H24),"")),"")</f>
        <v/>
      </c>
      <c r="Q24">
        <f>M24-P24</f>
        <v/>
      </c>
    </row>
    <row r="25">
      <c r="A25" t="n">
        <v>24</v>
      </c>
      <c r="C25">
        <f>IF(B25="","",TEXT(B25,"dddd"))</f>
        <v/>
      </c>
      <c r="M25">
        <f>IF(G25="Long",(I25-H25)*J25,IF(G25="Short",(H25-I25)*J25,""))</f>
        <v/>
      </c>
      <c r="N25">
        <f>IF(H25=0,"",M25/(H25*J25)*100)</f>
        <v/>
      </c>
      <c r="O25">
        <f>IF(AND(K25&lt;&gt;"",L25&lt;&gt;""),IF(G25="Long",(L25-H25)/(H25-K25),IF(G25="Short",(H25-L25)/(K25-H25),"")),"")</f>
        <v/>
      </c>
      <c r="Q25">
        <f>M25-P25</f>
        <v/>
      </c>
    </row>
    <row r="26">
      <c r="A26" t="n">
        <v>25</v>
      </c>
      <c r="C26">
        <f>IF(B26="","",TEXT(B26,"dddd"))</f>
        <v/>
      </c>
      <c r="M26">
        <f>IF(G26="Long",(I26-H26)*J26,IF(G26="Short",(H26-I26)*J26,""))</f>
        <v/>
      </c>
      <c r="N26">
        <f>IF(H26=0,"",M26/(H26*J26)*100)</f>
        <v/>
      </c>
      <c r="O26">
        <f>IF(AND(K26&lt;&gt;"",L26&lt;&gt;""),IF(G26="Long",(L26-H26)/(H26-K26),IF(G26="Short",(H26-L26)/(K26-H26),"")),"")</f>
        <v/>
      </c>
      <c r="Q26">
        <f>M26-P26</f>
        <v/>
      </c>
    </row>
    <row r="27">
      <c r="A27" t="n">
        <v>26</v>
      </c>
      <c r="C27">
        <f>IF(B27="","",TEXT(B27,"dddd"))</f>
        <v/>
      </c>
      <c r="M27">
        <f>IF(G27="Long",(I27-H27)*J27,IF(G27="Short",(H27-I27)*J27,""))</f>
        <v/>
      </c>
      <c r="N27">
        <f>IF(H27=0,"",M27/(H27*J27)*100)</f>
        <v/>
      </c>
      <c r="O27">
        <f>IF(AND(K27&lt;&gt;"",L27&lt;&gt;""),IF(G27="Long",(L27-H27)/(H27-K27),IF(G27="Short",(H27-L27)/(K27-H27),"")),"")</f>
        <v/>
      </c>
      <c r="Q27">
        <f>M27-P27</f>
        <v/>
      </c>
    </row>
    <row r="28">
      <c r="A28" t="n">
        <v>27</v>
      </c>
      <c r="C28">
        <f>IF(B28="","",TEXT(B28,"dddd"))</f>
        <v/>
      </c>
      <c r="M28">
        <f>IF(G28="Long",(I28-H28)*J28,IF(G28="Short",(H28-I28)*J28,""))</f>
        <v/>
      </c>
      <c r="N28">
        <f>IF(H28=0,"",M28/(H28*J28)*100)</f>
        <v/>
      </c>
      <c r="O28">
        <f>IF(AND(K28&lt;&gt;"",L28&lt;&gt;""),IF(G28="Long",(L28-H28)/(H28-K28),IF(G28="Short",(H28-L28)/(K28-H28),"")),"")</f>
        <v/>
      </c>
      <c r="Q28">
        <f>M28-P28</f>
        <v/>
      </c>
    </row>
    <row r="29">
      <c r="A29" t="n">
        <v>28</v>
      </c>
      <c r="C29">
        <f>IF(B29="","",TEXT(B29,"dddd"))</f>
        <v/>
      </c>
      <c r="M29">
        <f>IF(G29="Long",(I29-H29)*J29,IF(G29="Short",(H29-I29)*J29,""))</f>
        <v/>
      </c>
      <c r="N29">
        <f>IF(H29=0,"",M29/(H29*J29)*100)</f>
        <v/>
      </c>
      <c r="O29">
        <f>IF(AND(K29&lt;&gt;"",L29&lt;&gt;""),IF(G29="Long",(L29-H29)/(H29-K29),IF(G29="Short",(H29-L29)/(K29-H29),"")),"")</f>
        <v/>
      </c>
      <c r="Q29">
        <f>M29-P29</f>
        <v/>
      </c>
    </row>
    <row r="30">
      <c r="A30" t="n">
        <v>29</v>
      </c>
      <c r="C30">
        <f>IF(B30="","",TEXT(B30,"dddd"))</f>
        <v/>
      </c>
      <c r="M30">
        <f>IF(G30="Long",(I30-H30)*J30,IF(G30="Short",(H30-I30)*J30,""))</f>
        <v/>
      </c>
      <c r="N30">
        <f>IF(H30=0,"",M30/(H30*J30)*100)</f>
        <v/>
      </c>
      <c r="O30">
        <f>IF(AND(K30&lt;&gt;"",L30&lt;&gt;""),IF(G30="Long",(L30-H30)/(H30-K30),IF(G30="Short",(H30-L30)/(K30-H30),"")),"")</f>
        <v/>
      </c>
      <c r="Q30">
        <f>M30-P30</f>
        <v/>
      </c>
    </row>
    <row r="31">
      <c r="A31" t="n">
        <v>30</v>
      </c>
      <c r="C31">
        <f>IF(B31="","",TEXT(B31,"dddd"))</f>
        <v/>
      </c>
      <c r="M31">
        <f>IF(G31="Long",(I31-H31)*J31,IF(G31="Short",(H31-I31)*J31,""))</f>
        <v/>
      </c>
      <c r="N31">
        <f>IF(H31=0,"",M31/(H31*J31)*100)</f>
        <v/>
      </c>
      <c r="O31">
        <f>IF(AND(K31&lt;&gt;"",L31&lt;&gt;""),IF(G31="Long",(L31-H31)/(H31-K31),IF(G31="Short",(H31-L31)/(K31-H31),"")),"")</f>
        <v/>
      </c>
      <c r="Q31">
        <f>M31-P31</f>
        <v/>
      </c>
    </row>
    <row r="32">
      <c r="A32" t="n">
        <v>31</v>
      </c>
      <c r="C32">
        <f>IF(B32="","",TEXT(B32,"dddd"))</f>
        <v/>
      </c>
      <c r="M32">
        <f>IF(G32="Long",(I32-H32)*J32,IF(G32="Short",(H32-I32)*J32,""))</f>
        <v/>
      </c>
      <c r="N32">
        <f>IF(H32=0,"",M32/(H32*J32)*100)</f>
        <v/>
      </c>
      <c r="O32">
        <f>IF(AND(K32&lt;&gt;"",L32&lt;&gt;""),IF(G32="Long",(L32-H32)/(H32-K32),IF(G32="Short",(H32-L32)/(K32-H32),"")),"")</f>
        <v/>
      </c>
      <c r="Q32">
        <f>M32-P32</f>
        <v/>
      </c>
    </row>
    <row r="33">
      <c r="A33" t="n">
        <v>32</v>
      </c>
      <c r="C33">
        <f>IF(B33="","",TEXT(B33,"dddd"))</f>
        <v/>
      </c>
      <c r="M33">
        <f>IF(G33="Long",(I33-H33)*J33,IF(G33="Short",(H33-I33)*J33,""))</f>
        <v/>
      </c>
      <c r="N33">
        <f>IF(H33=0,"",M33/(H33*J33)*100)</f>
        <v/>
      </c>
      <c r="O33">
        <f>IF(AND(K33&lt;&gt;"",L33&lt;&gt;""),IF(G33="Long",(L33-H33)/(H33-K33),IF(G33="Short",(H33-L33)/(K33-H33),"")),"")</f>
        <v/>
      </c>
      <c r="Q33">
        <f>M33-P33</f>
        <v/>
      </c>
    </row>
    <row r="34">
      <c r="A34" t="n">
        <v>33</v>
      </c>
      <c r="C34">
        <f>IF(B34="","",TEXT(B34,"dddd"))</f>
        <v/>
      </c>
      <c r="M34">
        <f>IF(G34="Long",(I34-H34)*J34,IF(G34="Short",(H34-I34)*J34,""))</f>
        <v/>
      </c>
      <c r="N34">
        <f>IF(H34=0,"",M34/(H34*J34)*100)</f>
        <v/>
      </c>
      <c r="O34">
        <f>IF(AND(K34&lt;&gt;"",L34&lt;&gt;""),IF(G34="Long",(L34-H34)/(H34-K34),IF(G34="Short",(H34-L34)/(K34-H34),"")),"")</f>
        <v/>
      </c>
      <c r="Q34">
        <f>M34-P34</f>
        <v/>
      </c>
    </row>
    <row r="35">
      <c r="A35" t="n">
        <v>34</v>
      </c>
      <c r="C35">
        <f>IF(B35="","",TEXT(B35,"dddd"))</f>
        <v/>
      </c>
      <c r="M35">
        <f>IF(G35="Long",(I35-H35)*J35,IF(G35="Short",(H35-I35)*J35,""))</f>
        <v/>
      </c>
      <c r="N35">
        <f>IF(H35=0,"",M35/(H35*J35)*100)</f>
        <v/>
      </c>
      <c r="O35">
        <f>IF(AND(K35&lt;&gt;"",L35&lt;&gt;""),IF(G35="Long",(L35-H35)/(H35-K35),IF(G35="Short",(H35-L35)/(K35-H35),"")),"")</f>
        <v/>
      </c>
      <c r="Q35">
        <f>M35-P35</f>
        <v/>
      </c>
    </row>
    <row r="36">
      <c r="A36" t="n">
        <v>35</v>
      </c>
      <c r="C36">
        <f>IF(B36="","",TEXT(B36,"dddd"))</f>
        <v/>
      </c>
      <c r="M36">
        <f>IF(G36="Long",(I36-H36)*J36,IF(G36="Short",(H36-I36)*J36,""))</f>
        <v/>
      </c>
      <c r="N36">
        <f>IF(H36=0,"",M36/(H36*J36)*100)</f>
        <v/>
      </c>
      <c r="O36">
        <f>IF(AND(K36&lt;&gt;"",L36&lt;&gt;""),IF(G36="Long",(L36-H36)/(H36-K36),IF(G36="Short",(H36-L36)/(K36-H36),"")),"")</f>
        <v/>
      </c>
      <c r="Q36">
        <f>M36-P36</f>
        <v/>
      </c>
    </row>
    <row r="37">
      <c r="A37" t="n">
        <v>36</v>
      </c>
      <c r="C37">
        <f>IF(B37="","",TEXT(B37,"dddd"))</f>
        <v/>
      </c>
      <c r="M37">
        <f>IF(G37="Long",(I37-H37)*J37,IF(G37="Short",(H37-I37)*J37,""))</f>
        <v/>
      </c>
      <c r="N37">
        <f>IF(H37=0,"",M37/(H37*J37)*100)</f>
        <v/>
      </c>
      <c r="O37">
        <f>IF(AND(K37&lt;&gt;"",L37&lt;&gt;""),IF(G37="Long",(L37-H37)/(H37-K37),IF(G37="Short",(H37-L37)/(K37-H37),"")),"")</f>
        <v/>
      </c>
      <c r="Q37">
        <f>M37-P37</f>
        <v/>
      </c>
    </row>
    <row r="38">
      <c r="A38" t="n">
        <v>37</v>
      </c>
      <c r="C38">
        <f>IF(B38="","",TEXT(B38,"dddd"))</f>
        <v/>
      </c>
      <c r="M38">
        <f>IF(G38="Long",(I38-H38)*J38,IF(G38="Short",(H38-I38)*J38,""))</f>
        <v/>
      </c>
      <c r="N38">
        <f>IF(H38=0,"",M38/(H38*J38)*100)</f>
        <v/>
      </c>
      <c r="O38">
        <f>IF(AND(K38&lt;&gt;"",L38&lt;&gt;""),IF(G38="Long",(L38-H38)/(H38-K38),IF(G38="Short",(H38-L38)/(K38-H38),"")),"")</f>
        <v/>
      </c>
      <c r="Q38">
        <f>M38-P38</f>
        <v/>
      </c>
    </row>
    <row r="39">
      <c r="A39" t="n">
        <v>38</v>
      </c>
      <c r="C39">
        <f>IF(B39="","",TEXT(B39,"dddd"))</f>
        <v/>
      </c>
      <c r="M39">
        <f>IF(G39="Long",(I39-H39)*J39,IF(G39="Short",(H39-I39)*J39,""))</f>
        <v/>
      </c>
      <c r="N39">
        <f>IF(H39=0,"",M39/(H39*J39)*100)</f>
        <v/>
      </c>
      <c r="O39">
        <f>IF(AND(K39&lt;&gt;"",L39&lt;&gt;""),IF(G39="Long",(L39-H39)/(H39-K39),IF(G39="Short",(H39-L39)/(K39-H39),"")),"")</f>
        <v/>
      </c>
      <c r="Q39">
        <f>M39-P39</f>
        <v/>
      </c>
    </row>
    <row r="40">
      <c r="A40" t="n">
        <v>39</v>
      </c>
      <c r="C40">
        <f>IF(B40="","",TEXT(B40,"dddd"))</f>
        <v/>
      </c>
      <c r="M40">
        <f>IF(G40="Long",(I40-H40)*J40,IF(G40="Short",(H40-I40)*J40,""))</f>
        <v/>
      </c>
      <c r="N40">
        <f>IF(H40=0,"",M40/(H40*J40)*100)</f>
        <v/>
      </c>
      <c r="O40">
        <f>IF(AND(K40&lt;&gt;"",L40&lt;&gt;""),IF(G40="Long",(L40-H40)/(H40-K40),IF(G40="Short",(H40-L40)/(K40-H40),"")),"")</f>
        <v/>
      </c>
      <c r="Q40">
        <f>M40-P40</f>
        <v/>
      </c>
    </row>
    <row r="41">
      <c r="A41" t="n">
        <v>40</v>
      </c>
      <c r="C41">
        <f>IF(B41="","",TEXT(B41,"dddd"))</f>
        <v/>
      </c>
      <c r="M41">
        <f>IF(G41="Long",(I41-H41)*J41,IF(G41="Short",(H41-I41)*J41,""))</f>
        <v/>
      </c>
      <c r="N41">
        <f>IF(H41=0,"",M41/(H41*J41)*100)</f>
        <v/>
      </c>
      <c r="O41">
        <f>IF(AND(K41&lt;&gt;"",L41&lt;&gt;""),IF(G41="Long",(L41-H41)/(H41-K41),IF(G41="Short",(H41-L41)/(K41-H41),"")),"")</f>
        <v/>
      </c>
      <c r="Q41">
        <f>M41-P41</f>
        <v/>
      </c>
    </row>
    <row r="42">
      <c r="A42" t="n">
        <v>41</v>
      </c>
      <c r="C42">
        <f>IF(B42="","",TEXT(B42,"dddd"))</f>
        <v/>
      </c>
      <c r="M42">
        <f>IF(G42="Long",(I42-H42)*J42,IF(G42="Short",(H42-I42)*J42,""))</f>
        <v/>
      </c>
      <c r="N42">
        <f>IF(H42=0,"",M42/(H42*J42)*100)</f>
        <v/>
      </c>
      <c r="O42">
        <f>IF(AND(K42&lt;&gt;"",L42&lt;&gt;""),IF(G42="Long",(L42-H42)/(H42-K42),IF(G42="Short",(H42-L42)/(K42-H42),"")),"")</f>
        <v/>
      </c>
      <c r="Q42">
        <f>M42-P42</f>
        <v/>
      </c>
    </row>
    <row r="43">
      <c r="A43" t="n">
        <v>42</v>
      </c>
      <c r="C43">
        <f>IF(B43="","",TEXT(B43,"dddd"))</f>
        <v/>
      </c>
      <c r="M43">
        <f>IF(G43="Long",(I43-H43)*J43,IF(G43="Short",(H43-I43)*J43,""))</f>
        <v/>
      </c>
      <c r="N43">
        <f>IF(H43=0,"",M43/(H43*J43)*100)</f>
        <v/>
      </c>
      <c r="O43">
        <f>IF(AND(K43&lt;&gt;"",L43&lt;&gt;""),IF(G43="Long",(L43-H43)/(H43-K43),IF(G43="Short",(H43-L43)/(K43-H43),"")),"")</f>
        <v/>
      </c>
      <c r="Q43">
        <f>M43-P43</f>
        <v/>
      </c>
    </row>
    <row r="44">
      <c r="A44" t="n">
        <v>43</v>
      </c>
      <c r="C44">
        <f>IF(B44="","",TEXT(B44,"dddd"))</f>
        <v/>
      </c>
      <c r="M44">
        <f>IF(G44="Long",(I44-H44)*J44,IF(G44="Short",(H44-I44)*J44,""))</f>
        <v/>
      </c>
      <c r="N44">
        <f>IF(H44=0,"",M44/(H44*J44)*100)</f>
        <v/>
      </c>
      <c r="O44">
        <f>IF(AND(K44&lt;&gt;"",L44&lt;&gt;""),IF(G44="Long",(L44-H44)/(H44-K44),IF(G44="Short",(H44-L44)/(K44-H44),"")),"")</f>
        <v/>
      </c>
      <c r="Q44">
        <f>M44-P44</f>
        <v/>
      </c>
    </row>
    <row r="45">
      <c r="A45" t="n">
        <v>44</v>
      </c>
      <c r="C45">
        <f>IF(B45="","",TEXT(B45,"dddd"))</f>
        <v/>
      </c>
      <c r="M45">
        <f>IF(G45="Long",(I45-H45)*J45,IF(G45="Short",(H45-I45)*J45,""))</f>
        <v/>
      </c>
      <c r="N45">
        <f>IF(H45=0,"",M45/(H45*J45)*100)</f>
        <v/>
      </c>
      <c r="O45">
        <f>IF(AND(K45&lt;&gt;"",L45&lt;&gt;""),IF(G45="Long",(L45-H45)/(H45-K45),IF(G45="Short",(H45-L45)/(K45-H45),"")),"")</f>
        <v/>
      </c>
      <c r="Q45">
        <f>M45-P45</f>
        <v/>
      </c>
    </row>
    <row r="46">
      <c r="A46" t="n">
        <v>45</v>
      </c>
      <c r="C46">
        <f>IF(B46="","",TEXT(B46,"dddd"))</f>
        <v/>
      </c>
      <c r="M46">
        <f>IF(G46="Long",(I46-H46)*J46,IF(G46="Short",(H46-I46)*J46,""))</f>
        <v/>
      </c>
      <c r="N46">
        <f>IF(H46=0,"",M46/(H46*J46)*100)</f>
        <v/>
      </c>
      <c r="O46">
        <f>IF(AND(K46&lt;&gt;"",L46&lt;&gt;""),IF(G46="Long",(L46-H46)/(H46-K46),IF(G46="Short",(H46-L46)/(K46-H46),"")),"")</f>
        <v/>
      </c>
      <c r="Q46">
        <f>M46-P46</f>
        <v/>
      </c>
    </row>
    <row r="47">
      <c r="A47" t="n">
        <v>46</v>
      </c>
      <c r="C47">
        <f>IF(B47="","",TEXT(B47,"dddd"))</f>
        <v/>
      </c>
      <c r="M47">
        <f>IF(G47="Long",(I47-H47)*J47,IF(G47="Short",(H47-I47)*J47,""))</f>
        <v/>
      </c>
      <c r="N47">
        <f>IF(H47=0,"",M47/(H47*J47)*100)</f>
        <v/>
      </c>
      <c r="O47">
        <f>IF(AND(K47&lt;&gt;"",L47&lt;&gt;""),IF(G47="Long",(L47-H47)/(H47-K47),IF(G47="Short",(H47-L47)/(K47-H47),"")),"")</f>
        <v/>
      </c>
      <c r="Q47">
        <f>M47-P47</f>
        <v/>
      </c>
    </row>
    <row r="48">
      <c r="A48" t="n">
        <v>47</v>
      </c>
      <c r="C48">
        <f>IF(B48="","",TEXT(B48,"dddd"))</f>
        <v/>
      </c>
      <c r="M48">
        <f>IF(G48="Long",(I48-H48)*J48,IF(G48="Short",(H48-I48)*J48,""))</f>
        <v/>
      </c>
      <c r="N48">
        <f>IF(H48=0,"",M48/(H48*J48)*100)</f>
        <v/>
      </c>
      <c r="O48">
        <f>IF(AND(K48&lt;&gt;"",L48&lt;&gt;""),IF(G48="Long",(L48-H48)/(H48-K48),IF(G48="Short",(H48-L48)/(K48-H48),"")),"")</f>
        <v/>
      </c>
      <c r="Q48">
        <f>M48-P48</f>
        <v/>
      </c>
    </row>
    <row r="49">
      <c r="A49" t="n">
        <v>48</v>
      </c>
      <c r="C49">
        <f>IF(B49="","",TEXT(B49,"dddd"))</f>
        <v/>
      </c>
      <c r="M49">
        <f>IF(G49="Long",(I49-H49)*J49,IF(G49="Short",(H49-I49)*J49,""))</f>
        <v/>
      </c>
      <c r="N49">
        <f>IF(H49=0,"",M49/(H49*J49)*100)</f>
        <v/>
      </c>
      <c r="O49">
        <f>IF(AND(K49&lt;&gt;"",L49&lt;&gt;""),IF(G49="Long",(L49-H49)/(H49-K49),IF(G49="Short",(H49-L49)/(K49-H49),"")),"")</f>
        <v/>
      </c>
      <c r="Q49">
        <f>M49-P49</f>
        <v/>
      </c>
    </row>
    <row r="50">
      <c r="A50" t="n">
        <v>49</v>
      </c>
      <c r="C50">
        <f>IF(B50="","",TEXT(B50,"dddd"))</f>
        <v/>
      </c>
      <c r="M50">
        <f>IF(G50="Long",(I50-H50)*J50,IF(G50="Short",(H50-I50)*J50,""))</f>
        <v/>
      </c>
      <c r="N50">
        <f>IF(H50=0,"",M50/(H50*J50)*100)</f>
        <v/>
      </c>
      <c r="O50">
        <f>IF(AND(K50&lt;&gt;"",L50&lt;&gt;""),IF(G50="Long",(L50-H50)/(H50-K50),IF(G50="Short",(H50-L50)/(K50-H50),"")),"")</f>
        <v/>
      </c>
      <c r="Q50">
        <f>M50-P50</f>
        <v/>
      </c>
    </row>
    <row r="51">
      <c r="A51" t="n">
        <v>50</v>
      </c>
      <c r="C51">
        <f>IF(B51="","",TEXT(B51,"dddd"))</f>
        <v/>
      </c>
      <c r="M51">
        <f>IF(G51="Long",(I51-H51)*J51,IF(G51="Short",(H51-I51)*J51,""))</f>
        <v/>
      </c>
      <c r="N51">
        <f>IF(H51=0,"",M51/(H51*J51)*100)</f>
        <v/>
      </c>
      <c r="O51">
        <f>IF(AND(K51&lt;&gt;"",L51&lt;&gt;""),IF(G51="Long",(L51-H51)/(H51-K51),IF(G51="Short",(H51-L51)/(K51-H51),"")),"")</f>
        <v/>
      </c>
      <c r="Q51">
        <f>M51-P51</f>
        <v/>
      </c>
    </row>
    <row r="52">
      <c r="A52" t="n">
        <v>51</v>
      </c>
      <c r="C52">
        <f>IF(B52="","",TEXT(B52,"dddd"))</f>
        <v/>
      </c>
      <c r="M52">
        <f>IF(G52="Long",(I52-H52)*J52,IF(G52="Short",(H52-I52)*J52,""))</f>
        <v/>
      </c>
      <c r="N52">
        <f>IF(H52=0,"",M52/(H52*J52)*100)</f>
        <v/>
      </c>
      <c r="O52">
        <f>IF(AND(K52&lt;&gt;"",L52&lt;&gt;""),IF(G52="Long",(L52-H52)/(H52-K52),IF(G52="Short",(H52-L52)/(K52-H52),"")),"")</f>
        <v/>
      </c>
      <c r="Q52">
        <f>M52-P52</f>
        <v/>
      </c>
    </row>
    <row r="53">
      <c r="A53" t="n">
        <v>52</v>
      </c>
      <c r="C53">
        <f>IF(B53="","",TEXT(B53,"dddd"))</f>
        <v/>
      </c>
      <c r="M53">
        <f>IF(G53="Long",(I53-H53)*J53,IF(G53="Short",(H53-I53)*J53,""))</f>
        <v/>
      </c>
      <c r="N53">
        <f>IF(H53=0,"",M53/(H53*J53)*100)</f>
        <v/>
      </c>
      <c r="O53">
        <f>IF(AND(K53&lt;&gt;"",L53&lt;&gt;""),IF(G53="Long",(L53-H53)/(H53-K53),IF(G53="Short",(H53-L53)/(K53-H53),"")),"")</f>
        <v/>
      </c>
      <c r="Q53">
        <f>M53-P53</f>
        <v/>
      </c>
    </row>
    <row r="54">
      <c r="A54" t="n">
        <v>53</v>
      </c>
      <c r="C54">
        <f>IF(B54="","",TEXT(B54,"dddd"))</f>
        <v/>
      </c>
      <c r="M54">
        <f>IF(G54="Long",(I54-H54)*J54,IF(G54="Short",(H54-I54)*J54,""))</f>
        <v/>
      </c>
      <c r="N54">
        <f>IF(H54=0,"",M54/(H54*J54)*100)</f>
        <v/>
      </c>
      <c r="O54">
        <f>IF(AND(K54&lt;&gt;"",L54&lt;&gt;""),IF(G54="Long",(L54-H54)/(H54-K54),IF(G54="Short",(H54-L54)/(K54-H54),"")),"")</f>
        <v/>
      </c>
      <c r="Q54">
        <f>M54-P54</f>
        <v/>
      </c>
    </row>
    <row r="55">
      <c r="A55" t="n">
        <v>54</v>
      </c>
      <c r="C55">
        <f>IF(B55="","",TEXT(B55,"dddd"))</f>
        <v/>
      </c>
      <c r="M55">
        <f>IF(G55="Long",(I55-H55)*J55,IF(G55="Short",(H55-I55)*J55,""))</f>
        <v/>
      </c>
      <c r="N55">
        <f>IF(H55=0,"",M55/(H55*J55)*100)</f>
        <v/>
      </c>
      <c r="O55">
        <f>IF(AND(K55&lt;&gt;"",L55&lt;&gt;""),IF(G55="Long",(L55-H55)/(H55-K55),IF(G55="Short",(H55-L55)/(K55-H55),"")),"")</f>
        <v/>
      </c>
      <c r="Q55">
        <f>M55-P55</f>
        <v/>
      </c>
    </row>
    <row r="56">
      <c r="A56" t="n">
        <v>55</v>
      </c>
      <c r="C56">
        <f>IF(B56="","",TEXT(B56,"dddd"))</f>
        <v/>
      </c>
      <c r="M56">
        <f>IF(G56="Long",(I56-H56)*J56,IF(G56="Short",(H56-I56)*J56,""))</f>
        <v/>
      </c>
      <c r="N56">
        <f>IF(H56=0,"",M56/(H56*J56)*100)</f>
        <v/>
      </c>
      <c r="O56">
        <f>IF(AND(K56&lt;&gt;"",L56&lt;&gt;""),IF(G56="Long",(L56-H56)/(H56-K56),IF(G56="Short",(H56-L56)/(K56-H56),"")),"")</f>
        <v/>
      </c>
      <c r="Q56">
        <f>M56-P56</f>
        <v/>
      </c>
    </row>
    <row r="57">
      <c r="A57" t="n">
        <v>56</v>
      </c>
      <c r="C57">
        <f>IF(B57="","",TEXT(B57,"dddd"))</f>
        <v/>
      </c>
      <c r="M57">
        <f>IF(G57="Long",(I57-H57)*J57,IF(G57="Short",(H57-I57)*J57,""))</f>
        <v/>
      </c>
      <c r="N57">
        <f>IF(H57=0,"",M57/(H57*J57)*100)</f>
        <v/>
      </c>
      <c r="O57">
        <f>IF(AND(K57&lt;&gt;"",L57&lt;&gt;""),IF(G57="Long",(L57-H57)/(H57-K57),IF(G57="Short",(H57-L57)/(K57-H57),"")),"")</f>
        <v/>
      </c>
      <c r="Q57">
        <f>M57-P57</f>
        <v/>
      </c>
    </row>
    <row r="58">
      <c r="A58" t="n">
        <v>57</v>
      </c>
      <c r="C58">
        <f>IF(B58="","",TEXT(B58,"dddd"))</f>
        <v/>
      </c>
      <c r="M58">
        <f>IF(G58="Long",(I58-H58)*J58,IF(G58="Short",(H58-I58)*J58,""))</f>
        <v/>
      </c>
      <c r="N58">
        <f>IF(H58=0,"",M58/(H58*J58)*100)</f>
        <v/>
      </c>
      <c r="O58">
        <f>IF(AND(K58&lt;&gt;"",L58&lt;&gt;""),IF(G58="Long",(L58-H58)/(H58-K58),IF(G58="Short",(H58-L58)/(K58-H58),"")),"")</f>
        <v/>
      </c>
      <c r="Q58">
        <f>M58-P58</f>
        <v/>
      </c>
    </row>
    <row r="59">
      <c r="A59" t="n">
        <v>58</v>
      </c>
      <c r="C59">
        <f>IF(B59="","",TEXT(B59,"dddd"))</f>
        <v/>
      </c>
      <c r="M59">
        <f>IF(G59="Long",(I59-H59)*J59,IF(G59="Short",(H59-I59)*J59,""))</f>
        <v/>
      </c>
      <c r="N59">
        <f>IF(H59=0,"",M59/(H59*J59)*100)</f>
        <v/>
      </c>
      <c r="O59">
        <f>IF(AND(K59&lt;&gt;"",L59&lt;&gt;""),IF(G59="Long",(L59-H59)/(H59-K59),IF(G59="Short",(H59-L59)/(K59-H59),"")),"")</f>
        <v/>
      </c>
      <c r="Q59">
        <f>M59-P59</f>
        <v/>
      </c>
    </row>
    <row r="60">
      <c r="A60" t="n">
        <v>59</v>
      </c>
      <c r="C60">
        <f>IF(B60="","",TEXT(B60,"dddd"))</f>
        <v/>
      </c>
      <c r="M60">
        <f>IF(G60="Long",(I60-H60)*J60,IF(G60="Short",(H60-I60)*J60,""))</f>
        <v/>
      </c>
      <c r="N60">
        <f>IF(H60=0,"",M60/(H60*J60)*100)</f>
        <v/>
      </c>
      <c r="O60">
        <f>IF(AND(K60&lt;&gt;"",L60&lt;&gt;""),IF(G60="Long",(L60-H60)/(H60-K60),IF(G60="Short",(H60-L60)/(K60-H60),"")),"")</f>
        <v/>
      </c>
      <c r="Q60">
        <f>M60-P60</f>
        <v/>
      </c>
    </row>
    <row r="61">
      <c r="A61" t="n">
        <v>60</v>
      </c>
      <c r="C61">
        <f>IF(B61="","",TEXT(B61,"dddd"))</f>
        <v/>
      </c>
      <c r="M61">
        <f>IF(G61="Long",(I61-H61)*J61,IF(G61="Short",(H61-I61)*J61,""))</f>
        <v/>
      </c>
      <c r="N61">
        <f>IF(H61=0,"",M61/(H61*J61)*100)</f>
        <v/>
      </c>
      <c r="O61">
        <f>IF(AND(K61&lt;&gt;"",L61&lt;&gt;""),IF(G61="Long",(L61-H61)/(H61-K61),IF(G61="Short",(H61-L61)/(K61-H61),"")),"")</f>
        <v/>
      </c>
      <c r="Q61">
        <f>M61-P61</f>
        <v/>
      </c>
    </row>
    <row r="62">
      <c r="A62" t="n">
        <v>61</v>
      </c>
      <c r="C62">
        <f>IF(B62="","",TEXT(B62,"dddd"))</f>
        <v/>
      </c>
      <c r="M62">
        <f>IF(G62="Long",(I62-H62)*J62,IF(G62="Short",(H62-I62)*J62,""))</f>
        <v/>
      </c>
      <c r="N62">
        <f>IF(H62=0,"",M62/(H62*J62)*100)</f>
        <v/>
      </c>
      <c r="O62">
        <f>IF(AND(K62&lt;&gt;"",L62&lt;&gt;""),IF(G62="Long",(L62-H62)/(H62-K62),IF(G62="Short",(H62-L62)/(K62-H62),"")),"")</f>
        <v/>
      </c>
      <c r="Q62">
        <f>M62-P62</f>
        <v/>
      </c>
    </row>
    <row r="63">
      <c r="A63" t="n">
        <v>62</v>
      </c>
      <c r="C63">
        <f>IF(B63="","",TEXT(B63,"dddd"))</f>
        <v/>
      </c>
      <c r="M63">
        <f>IF(G63="Long",(I63-H63)*J63,IF(G63="Short",(H63-I63)*J63,""))</f>
        <v/>
      </c>
      <c r="N63">
        <f>IF(H63=0,"",M63/(H63*J63)*100)</f>
        <v/>
      </c>
      <c r="O63">
        <f>IF(AND(K63&lt;&gt;"",L63&lt;&gt;""),IF(G63="Long",(L63-H63)/(H63-K63),IF(G63="Short",(H63-L63)/(K63-H63),"")),"")</f>
        <v/>
      </c>
      <c r="Q63">
        <f>M63-P63</f>
        <v/>
      </c>
    </row>
    <row r="64">
      <c r="A64" t="n">
        <v>63</v>
      </c>
      <c r="C64">
        <f>IF(B64="","",TEXT(B64,"dddd"))</f>
        <v/>
      </c>
      <c r="M64">
        <f>IF(G64="Long",(I64-H64)*J64,IF(G64="Short",(H64-I64)*J64,""))</f>
        <v/>
      </c>
      <c r="N64">
        <f>IF(H64=0,"",M64/(H64*J64)*100)</f>
        <v/>
      </c>
      <c r="O64">
        <f>IF(AND(K64&lt;&gt;"",L64&lt;&gt;""),IF(G64="Long",(L64-H64)/(H64-K64),IF(G64="Short",(H64-L64)/(K64-H64),"")),"")</f>
        <v/>
      </c>
      <c r="Q64">
        <f>M64-P64</f>
        <v/>
      </c>
    </row>
    <row r="65">
      <c r="A65" t="n">
        <v>64</v>
      </c>
      <c r="C65">
        <f>IF(B65="","",TEXT(B65,"dddd"))</f>
        <v/>
      </c>
      <c r="M65">
        <f>IF(G65="Long",(I65-H65)*J65,IF(G65="Short",(H65-I65)*J65,""))</f>
        <v/>
      </c>
      <c r="N65">
        <f>IF(H65=0,"",M65/(H65*J65)*100)</f>
        <v/>
      </c>
      <c r="O65">
        <f>IF(AND(K65&lt;&gt;"",L65&lt;&gt;""),IF(G65="Long",(L65-H65)/(H65-K65),IF(G65="Short",(H65-L65)/(K65-H65),"")),"")</f>
        <v/>
      </c>
      <c r="Q65">
        <f>M65-P65</f>
        <v/>
      </c>
    </row>
    <row r="66">
      <c r="A66" t="n">
        <v>65</v>
      </c>
      <c r="C66">
        <f>IF(B66="","",TEXT(B66,"dddd"))</f>
        <v/>
      </c>
      <c r="M66">
        <f>IF(G66="Long",(I66-H66)*J66,IF(G66="Short",(H66-I66)*J66,""))</f>
        <v/>
      </c>
      <c r="N66">
        <f>IF(H66=0,"",M66/(H66*J66)*100)</f>
        <v/>
      </c>
      <c r="O66">
        <f>IF(AND(K66&lt;&gt;"",L66&lt;&gt;""),IF(G66="Long",(L66-H66)/(H66-K66),IF(G66="Short",(H66-L66)/(K66-H66),"")),"")</f>
        <v/>
      </c>
      <c r="Q66">
        <f>M66-P66</f>
        <v/>
      </c>
    </row>
    <row r="67">
      <c r="A67" t="n">
        <v>66</v>
      </c>
      <c r="C67">
        <f>IF(B67="","",TEXT(B67,"dddd"))</f>
        <v/>
      </c>
      <c r="M67">
        <f>IF(G67="Long",(I67-H67)*J67,IF(G67="Short",(H67-I67)*J67,""))</f>
        <v/>
      </c>
      <c r="N67">
        <f>IF(H67=0,"",M67/(H67*J67)*100)</f>
        <v/>
      </c>
      <c r="O67">
        <f>IF(AND(K67&lt;&gt;"",L67&lt;&gt;""),IF(G67="Long",(L67-H67)/(H67-K67),IF(G67="Short",(H67-L67)/(K67-H67),"")),"")</f>
        <v/>
      </c>
      <c r="Q67">
        <f>M67-P67</f>
        <v/>
      </c>
    </row>
    <row r="68">
      <c r="A68" t="n">
        <v>67</v>
      </c>
      <c r="C68">
        <f>IF(B68="","",TEXT(B68,"dddd"))</f>
        <v/>
      </c>
      <c r="M68">
        <f>IF(G68="Long",(I68-H68)*J68,IF(G68="Short",(H68-I68)*J68,""))</f>
        <v/>
      </c>
      <c r="N68">
        <f>IF(H68=0,"",M68/(H68*J68)*100)</f>
        <v/>
      </c>
      <c r="O68">
        <f>IF(AND(K68&lt;&gt;"",L68&lt;&gt;""),IF(G68="Long",(L68-H68)/(H68-K68),IF(G68="Short",(H68-L68)/(K68-H68),"")),"")</f>
        <v/>
      </c>
      <c r="Q68">
        <f>M68-P68</f>
        <v/>
      </c>
    </row>
    <row r="69">
      <c r="A69" t="n">
        <v>68</v>
      </c>
      <c r="C69">
        <f>IF(B69="","",TEXT(B69,"dddd"))</f>
        <v/>
      </c>
      <c r="M69">
        <f>IF(G69="Long",(I69-H69)*J69,IF(G69="Short",(H69-I69)*J69,""))</f>
        <v/>
      </c>
      <c r="N69">
        <f>IF(H69=0,"",M69/(H69*J69)*100)</f>
        <v/>
      </c>
      <c r="O69">
        <f>IF(AND(K69&lt;&gt;"",L69&lt;&gt;""),IF(G69="Long",(L69-H69)/(H69-K69),IF(G69="Short",(H69-L69)/(K69-H69),"")),"")</f>
        <v/>
      </c>
      <c r="Q69">
        <f>M69-P69</f>
        <v/>
      </c>
    </row>
    <row r="70">
      <c r="A70" t="n">
        <v>69</v>
      </c>
      <c r="C70">
        <f>IF(B70="","",TEXT(B70,"dddd"))</f>
        <v/>
      </c>
      <c r="M70">
        <f>IF(G70="Long",(I70-H70)*J70,IF(G70="Short",(H70-I70)*J70,""))</f>
        <v/>
      </c>
      <c r="N70">
        <f>IF(H70=0,"",M70/(H70*J70)*100)</f>
        <v/>
      </c>
      <c r="O70">
        <f>IF(AND(K70&lt;&gt;"",L70&lt;&gt;""),IF(G70="Long",(L70-H70)/(H70-K70),IF(G70="Short",(H70-L70)/(K70-H70),"")),"")</f>
        <v/>
      </c>
      <c r="Q70">
        <f>M70-P70</f>
        <v/>
      </c>
    </row>
    <row r="71">
      <c r="A71" t="n">
        <v>70</v>
      </c>
      <c r="C71">
        <f>IF(B71="","",TEXT(B71,"dddd"))</f>
        <v/>
      </c>
      <c r="M71">
        <f>IF(G71="Long",(I71-H71)*J71,IF(G71="Short",(H71-I71)*J71,""))</f>
        <v/>
      </c>
      <c r="N71">
        <f>IF(H71=0,"",M71/(H71*J71)*100)</f>
        <v/>
      </c>
      <c r="O71">
        <f>IF(AND(K71&lt;&gt;"",L71&lt;&gt;""),IF(G71="Long",(L71-H71)/(H71-K71),IF(G71="Short",(H71-L71)/(K71-H71),"")),"")</f>
        <v/>
      </c>
      <c r="Q71">
        <f>M71-P71</f>
        <v/>
      </c>
    </row>
    <row r="72">
      <c r="A72" t="n">
        <v>71</v>
      </c>
      <c r="C72">
        <f>IF(B72="","",TEXT(B72,"dddd"))</f>
        <v/>
      </c>
      <c r="M72">
        <f>IF(G72="Long",(I72-H72)*J72,IF(G72="Short",(H72-I72)*J72,""))</f>
        <v/>
      </c>
      <c r="N72">
        <f>IF(H72=0,"",M72/(H72*J72)*100)</f>
        <v/>
      </c>
      <c r="O72">
        <f>IF(AND(K72&lt;&gt;"",L72&lt;&gt;""),IF(G72="Long",(L72-H72)/(H72-K72),IF(G72="Short",(H72-L72)/(K72-H72),"")),"")</f>
        <v/>
      </c>
      <c r="Q72">
        <f>M72-P72</f>
        <v/>
      </c>
    </row>
    <row r="73">
      <c r="A73" t="n">
        <v>72</v>
      </c>
      <c r="C73">
        <f>IF(B73="","",TEXT(B73,"dddd"))</f>
        <v/>
      </c>
      <c r="M73">
        <f>IF(G73="Long",(I73-H73)*J73,IF(G73="Short",(H73-I73)*J73,""))</f>
        <v/>
      </c>
      <c r="N73">
        <f>IF(H73=0,"",M73/(H73*J73)*100)</f>
        <v/>
      </c>
      <c r="O73">
        <f>IF(AND(K73&lt;&gt;"",L73&lt;&gt;""),IF(G73="Long",(L73-H73)/(H73-K73),IF(G73="Short",(H73-L73)/(K73-H73),"")),"")</f>
        <v/>
      </c>
      <c r="Q73">
        <f>M73-P73</f>
        <v/>
      </c>
    </row>
    <row r="74">
      <c r="A74" t="n">
        <v>73</v>
      </c>
      <c r="C74">
        <f>IF(B74="","",TEXT(B74,"dddd"))</f>
        <v/>
      </c>
      <c r="M74">
        <f>IF(G74="Long",(I74-H74)*J74,IF(G74="Short",(H74-I74)*J74,""))</f>
        <v/>
      </c>
      <c r="N74">
        <f>IF(H74=0,"",M74/(H74*J74)*100)</f>
        <v/>
      </c>
      <c r="O74">
        <f>IF(AND(K74&lt;&gt;"",L74&lt;&gt;""),IF(G74="Long",(L74-H74)/(H74-K74),IF(G74="Short",(H74-L74)/(K74-H74),"")),"")</f>
        <v/>
      </c>
      <c r="Q74">
        <f>M74-P74</f>
        <v/>
      </c>
    </row>
    <row r="75">
      <c r="A75" t="n">
        <v>74</v>
      </c>
      <c r="C75">
        <f>IF(B75="","",TEXT(B75,"dddd"))</f>
        <v/>
      </c>
      <c r="M75">
        <f>IF(G75="Long",(I75-H75)*J75,IF(G75="Short",(H75-I75)*J75,""))</f>
        <v/>
      </c>
      <c r="N75">
        <f>IF(H75=0,"",M75/(H75*J75)*100)</f>
        <v/>
      </c>
      <c r="O75">
        <f>IF(AND(K75&lt;&gt;"",L75&lt;&gt;""),IF(G75="Long",(L75-H75)/(H75-K75),IF(G75="Short",(H75-L75)/(K75-H75),"")),"")</f>
        <v/>
      </c>
      <c r="Q75">
        <f>M75-P75</f>
        <v/>
      </c>
    </row>
    <row r="76">
      <c r="A76" t="n">
        <v>75</v>
      </c>
      <c r="C76">
        <f>IF(B76="","",TEXT(B76,"dddd"))</f>
        <v/>
      </c>
      <c r="M76">
        <f>IF(G76="Long",(I76-H76)*J76,IF(G76="Short",(H76-I76)*J76,""))</f>
        <v/>
      </c>
      <c r="N76">
        <f>IF(H76=0,"",M76/(H76*J76)*100)</f>
        <v/>
      </c>
      <c r="O76">
        <f>IF(AND(K76&lt;&gt;"",L76&lt;&gt;""),IF(G76="Long",(L76-H76)/(H76-K76),IF(G76="Short",(H76-L76)/(K76-H76),"")),"")</f>
        <v/>
      </c>
      <c r="Q76">
        <f>M76-P76</f>
        <v/>
      </c>
    </row>
    <row r="77">
      <c r="A77" t="n">
        <v>76</v>
      </c>
      <c r="C77">
        <f>IF(B77="","",TEXT(B77,"dddd"))</f>
        <v/>
      </c>
      <c r="M77">
        <f>IF(G77="Long",(I77-H77)*J77,IF(G77="Short",(H77-I77)*J77,""))</f>
        <v/>
      </c>
      <c r="N77">
        <f>IF(H77=0,"",M77/(H77*J77)*100)</f>
        <v/>
      </c>
      <c r="O77">
        <f>IF(AND(K77&lt;&gt;"",L77&lt;&gt;""),IF(G77="Long",(L77-H77)/(H77-K77),IF(G77="Short",(H77-L77)/(K77-H77),"")),"")</f>
        <v/>
      </c>
      <c r="Q77">
        <f>M77-P77</f>
        <v/>
      </c>
    </row>
    <row r="78">
      <c r="A78" t="n">
        <v>77</v>
      </c>
      <c r="C78">
        <f>IF(B78="","",TEXT(B78,"dddd"))</f>
        <v/>
      </c>
      <c r="M78">
        <f>IF(G78="Long",(I78-H78)*J78,IF(G78="Short",(H78-I78)*J78,""))</f>
        <v/>
      </c>
      <c r="N78">
        <f>IF(H78=0,"",M78/(H78*J78)*100)</f>
        <v/>
      </c>
      <c r="O78">
        <f>IF(AND(K78&lt;&gt;"",L78&lt;&gt;""),IF(G78="Long",(L78-H78)/(H78-K78),IF(G78="Short",(H78-L78)/(K78-H78),"")),"")</f>
        <v/>
      </c>
      <c r="Q78">
        <f>M78-P78</f>
        <v/>
      </c>
    </row>
    <row r="79">
      <c r="A79" t="n">
        <v>78</v>
      </c>
      <c r="C79">
        <f>IF(B79="","",TEXT(B79,"dddd"))</f>
        <v/>
      </c>
      <c r="M79">
        <f>IF(G79="Long",(I79-H79)*J79,IF(G79="Short",(H79-I79)*J79,""))</f>
        <v/>
      </c>
      <c r="N79">
        <f>IF(H79=0,"",M79/(H79*J79)*100)</f>
        <v/>
      </c>
      <c r="O79">
        <f>IF(AND(K79&lt;&gt;"",L79&lt;&gt;""),IF(G79="Long",(L79-H79)/(H79-K79),IF(G79="Short",(H79-L79)/(K79-H79),"")),"")</f>
        <v/>
      </c>
      <c r="Q79">
        <f>M79-P79</f>
        <v/>
      </c>
    </row>
    <row r="80">
      <c r="A80" t="n">
        <v>79</v>
      </c>
      <c r="C80">
        <f>IF(B80="","",TEXT(B80,"dddd"))</f>
        <v/>
      </c>
      <c r="M80">
        <f>IF(G80="Long",(I80-H80)*J80,IF(G80="Short",(H80-I80)*J80,""))</f>
        <v/>
      </c>
      <c r="N80">
        <f>IF(H80=0,"",M80/(H80*J80)*100)</f>
        <v/>
      </c>
      <c r="O80">
        <f>IF(AND(K80&lt;&gt;"",L80&lt;&gt;""),IF(G80="Long",(L80-H80)/(H80-K80),IF(G80="Short",(H80-L80)/(K80-H80),"")),"")</f>
        <v/>
      </c>
      <c r="Q80">
        <f>M80-P80</f>
        <v/>
      </c>
    </row>
    <row r="81">
      <c r="A81" t="n">
        <v>80</v>
      </c>
      <c r="C81">
        <f>IF(B81="","",TEXT(B81,"dddd"))</f>
        <v/>
      </c>
      <c r="M81">
        <f>IF(G81="Long",(I81-H81)*J81,IF(G81="Short",(H81-I81)*J81,""))</f>
        <v/>
      </c>
      <c r="N81">
        <f>IF(H81=0,"",M81/(H81*J81)*100)</f>
        <v/>
      </c>
      <c r="O81">
        <f>IF(AND(K81&lt;&gt;"",L81&lt;&gt;""),IF(G81="Long",(L81-H81)/(H81-K81),IF(G81="Short",(H81-L81)/(K81-H81),"")),"")</f>
        <v/>
      </c>
      <c r="Q81">
        <f>M81-P81</f>
        <v/>
      </c>
    </row>
    <row r="82">
      <c r="A82" t="n">
        <v>81</v>
      </c>
      <c r="C82">
        <f>IF(B82="","",TEXT(B82,"dddd"))</f>
        <v/>
      </c>
      <c r="M82">
        <f>IF(G82="Long",(I82-H82)*J82,IF(G82="Short",(H82-I82)*J82,""))</f>
        <v/>
      </c>
      <c r="N82">
        <f>IF(H82=0,"",M82/(H82*J82)*100)</f>
        <v/>
      </c>
      <c r="O82">
        <f>IF(AND(K82&lt;&gt;"",L82&lt;&gt;""),IF(G82="Long",(L82-H82)/(H82-K82),IF(G82="Short",(H82-L82)/(K82-H82),"")),"")</f>
        <v/>
      </c>
      <c r="Q82">
        <f>M82-P82</f>
        <v/>
      </c>
    </row>
    <row r="83">
      <c r="A83" t="n">
        <v>82</v>
      </c>
      <c r="C83">
        <f>IF(B83="","",TEXT(B83,"dddd"))</f>
        <v/>
      </c>
      <c r="M83">
        <f>IF(G83="Long",(I83-H83)*J83,IF(G83="Short",(H83-I83)*J83,""))</f>
        <v/>
      </c>
      <c r="N83">
        <f>IF(H83=0,"",M83/(H83*J83)*100)</f>
        <v/>
      </c>
      <c r="O83">
        <f>IF(AND(K83&lt;&gt;"",L83&lt;&gt;""),IF(G83="Long",(L83-H83)/(H83-K83),IF(G83="Short",(H83-L83)/(K83-H83),"")),"")</f>
        <v/>
      </c>
      <c r="Q83">
        <f>M83-P83</f>
        <v/>
      </c>
    </row>
    <row r="84">
      <c r="A84" t="n">
        <v>83</v>
      </c>
      <c r="C84">
        <f>IF(B84="","",TEXT(B84,"dddd"))</f>
        <v/>
      </c>
      <c r="M84">
        <f>IF(G84="Long",(I84-H84)*J84,IF(G84="Short",(H84-I84)*J84,""))</f>
        <v/>
      </c>
      <c r="N84">
        <f>IF(H84=0,"",M84/(H84*J84)*100)</f>
        <v/>
      </c>
      <c r="O84">
        <f>IF(AND(K84&lt;&gt;"",L84&lt;&gt;""),IF(G84="Long",(L84-H84)/(H84-K84),IF(G84="Short",(H84-L84)/(K84-H84),"")),"")</f>
        <v/>
      </c>
      <c r="Q84">
        <f>M84-P84</f>
        <v/>
      </c>
    </row>
    <row r="85">
      <c r="A85" t="n">
        <v>84</v>
      </c>
      <c r="C85">
        <f>IF(B85="","",TEXT(B85,"dddd"))</f>
        <v/>
      </c>
      <c r="M85">
        <f>IF(G85="Long",(I85-H85)*J85,IF(G85="Short",(H85-I85)*J85,""))</f>
        <v/>
      </c>
      <c r="N85">
        <f>IF(H85=0,"",M85/(H85*J85)*100)</f>
        <v/>
      </c>
      <c r="O85">
        <f>IF(AND(K85&lt;&gt;"",L85&lt;&gt;""),IF(G85="Long",(L85-H85)/(H85-K85),IF(G85="Short",(H85-L85)/(K85-H85),"")),"")</f>
        <v/>
      </c>
      <c r="Q85">
        <f>M85-P85</f>
        <v/>
      </c>
    </row>
    <row r="86">
      <c r="A86" t="n">
        <v>85</v>
      </c>
      <c r="C86">
        <f>IF(B86="","",TEXT(B86,"dddd"))</f>
        <v/>
      </c>
      <c r="M86">
        <f>IF(G86="Long",(I86-H86)*J86,IF(G86="Short",(H86-I86)*J86,""))</f>
        <v/>
      </c>
      <c r="N86">
        <f>IF(H86=0,"",M86/(H86*J86)*100)</f>
        <v/>
      </c>
      <c r="O86">
        <f>IF(AND(K86&lt;&gt;"",L86&lt;&gt;""),IF(G86="Long",(L86-H86)/(H86-K86),IF(G86="Short",(H86-L86)/(K86-H86),"")),"")</f>
        <v/>
      </c>
      <c r="Q86">
        <f>M86-P86</f>
        <v/>
      </c>
    </row>
    <row r="87">
      <c r="A87" t="n">
        <v>86</v>
      </c>
      <c r="C87">
        <f>IF(B87="","",TEXT(B87,"dddd"))</f>
        <v/>
      </c>
      <c r="M87">
        <f>IF(G87="Long",(I87-H87)*J87,IF(G87="Short",(H87-I87)*J87,""))</f>
        <v/>
      </c>
      <c r="N87">
        <f>IF(H87=0,"",M87/(H87*J87)*100)</f>
        <v/>
      </c>
      <c r="O87">
        <f>IF(AND(K87&lt;&gt;"",L87&lt;&gt;""),IF(G87="Long",(L87-H87)/(H87-K87),IF(G87="Short",(H87-L87)/(K87-H87),"")),"")</f>
        <v/>
      </c>
      <c r="Q87">
        <f>M87-P87</f>
        <v/>
      </c>
    </row>
    <row r="88">
      <c r="A88" t="n">
        <v>87</v>
      </c>
      <c r="C88">
        <f>IF(B88="","",TEXT(B88,"dddd"))</f>
        <v/>
      </c>
      <c r="M88">
        <f>IF(G88="Long",(I88-H88)*J88,IF(G88="Short",(H88-I88)*J88,""))</f>
        <v/>
      </c>
      <c r="N88">
        <f>IF(H88=0,"",M88/(H88*J88)*100)</f>
        <v/>
      </c>
      <c r="O88">
        <f>IF(AND(K88&lt;&gt;"",L88&lt;&gt;""),IF(G88="Long",(L88-H88)/(H88-K88),IF(G88="Short",(H88-L88)/(K88-H88),"")),"")</f>
        <v/>
      </c>
      <c r="Q88">
        <f>M88-P88</f>
        <v/>
      </c>
    </row>
    <row r="89">
      <c r="A89" t="n">
        <v>88</v>
      </c>
      <c r="C89">
        <f>IF(B89="","",TEXT(B89,"dddd"))</f>
        <v/>
      </c>
      <c r="M89">
        <f>IF(G89="Long",(I89-H89)*J89,IF(G89="Short",(H89-I89)*J89,""))</f>
        <v/>
      </c>
      <c r="N89">
        <f>IF(H89=0,"",M89/(H89*J89)*100)</f>
        <v/>
      </c>
      <c r="O89">
        <f>IF(AND(K89&lt;&gt;"",L89&lt;&gt;""),IF(G89="Long",(L89-H89)/(H89-K89),IF(G89="Short",(H89-L89)/(K89-H89),"")),"")</f>
        <v/>
      </c>
      <c r="Q89">
        <f>M89-P89</f>
        <v/>
      </c>
    </row>
    <row r="90">
      <c r="A90" t="n">
        <v>89</v>
      </c>
      <c r="C90">
        <f>IF(B90="","",TEXT(B90,"dddd"))</f>
        <v/>
      </c>
      <c r="M90">
        <f>IF(G90="Long",(I90-H90)*J90,IF(G90="Short",(H90-I90)*J90,""))</f>
        <v/>
      </c>
      <c r="N90">
        <f>IF(H90=0,"",M90/(H90*J90)*100)</f>
        <v/>
      </c>
      <c r="O90">
        <f>IF(AND(K90&lt;&gt;"",L90&lt;&gt;""),IF(G90="Long",(L90-H90)/(H90-K90),IF(G90="Short",(H90-L90)/(K90-H90),"")),"")</f>
        <v/>
      </c>
      <c r="Q90">
        <f>M90-P90</f>
        <v/>
      </c>
    </row>
    <row r="91">
      <c r="A91" t="n">
        <v>90</v>
      </c>
      <c r="C91">
        <f>IF(B91="","",TEXT(B91,"dddd"))</f>
        <v/>
      </c>
      <c r="M91">
        <f>IF(G91="Long",(I91-H91)*J91,IF(G91="Short",(H91-I91)*J91,""))</f>
        <v/>
      </c>
      <c r="N91">
        <f>IF(H91=0,"",M91/(H91*J91)*100)</f>
        <v/>
      </c>
      <c r="O91">
        <f>IF(AND(K91&lt;&gt;"",L91&lt;&gt;""),IF(G91="Long",(L91-H91)/(H91-K91),IF(G91="Short",(H91-L91)/(K91-H91),"")),"")</f>
        <v/>
      </c>
      <c r="Q91">
        <f>M91-P91</f>
        <v/>
      </c>
    </row>
    <row r="92">
      <c r="A92" t="n">
        <v>91</v>
      </c>
      <c r="C92">
        <f>IF(B92="","",TEXT(B92,"dddd"))</f>
        <v/>
      </c>
      <c r="M92">
        <f>IF(G92="Long",(I92-H92)*J92,IF(G92="Short",(H92-I92)*J92,""))</f>
        <v/>
      </c>
      <c r="N92">
        <f>IF(H92=0,"",M92/(H92*J92)*100)</f>
        <v/>
      </c>
      <c r="O92">
        <f>IF(AND(K92&lt;&gt;"",L92&lt;&gt;""),IF(G92="Long",(L92-H92)/(H92-K92),IF(G92="Short",(H92-L92)/(K92-H92),"")),"")</f>
        <v/>
      </c>
      <c r="Q92">
        <f>M92-P92</f>
        <v/>
      </c>
    </row>
    <row r="93">
      <c r="A93" t="n">
        <v>92</v>
      </c>
      <c r="C93">
        <f>IF(B93="","",TEXT(B93,"dddd"))</f>
        <v/>
      </c>
      <c r="M93">
        <f>IF(G93="Long",(I93-H93)*J93,IF(G93="Short",(H93-I93)*J93,""))</f>
        <v/>
      </c>
      <c r="N93">
        <f>IF(H93=0,"",M93/(H93*J93)*100)</f>
        <v/>
      </c>
      <c r="O93">
        <f>IF(AND(K93&lt;&gt;"",L93&lt;&gt;""),IF(G93="Long",(L93-H93)/(H93-K93),IF(G93="Short",(H93-L93)/(K93-H93),"")),"")</f>
        <v/>
      </c>
      <c r="Q93">
        <f>M93-P93</f>
        <v/>
      </c>
    </row>
    <row r="94">
      <c r="A94" t="n">
        <v>93</v>
      </c>
      <c r="C94">
        <f>IF(B94="","",TEXT(B94,"dddd"))</f>
        <v/>
      </c>
      <c r="M94">
        <f>IF(G94="Long",(I94-H94)*J94,IF(G94="Short",(H94-I94)*J94,""))</f>
        <v/>
      </c>
      <c r="N94">
        <f>IF(H94=0,"",M94/(H94*J94)*100)</f>
        <v/>
      </c>
      <c r="O94">
        <f>IF(AND(K94&lt;&gt;"",L94&lt;&gt;""),IF(G94="Long",(L94-H94)/(H94-K94),IF(G94="Short",(H94-L94)/(K94-H94),"")),"")</f>
        <v/>
      </c>
      <c r="Q94">
        <f>M94-P94</f>
        <v/>
      </c>
    </row>
    <row r="95">
      <c r="A95" t="n">
        <v>94</v>
      </c>
      <c r="C95">
        <f>IF(B95="","",TEXT(B95,"dddd"))</f>
        <v/>
      </c>
      <c r="M95">
        <f>IF(G95="Long",(I95-H95)*J95,IF(G95="Short",(H95-I95)*J95,""))</f>
        <v/>
      </c>
      <c r="N95">
        <f>IF(H95=0,"",M95/(H95*J95)*100)</f>
        <v/>
      </c>
      <c r="O95">
        <f>IF(AND(K95&lt;&gt;"",L95&lt;&gt;""),IF(G95="Long",(L95-H95)/(H95-K95),IF(G95="Short",(H95-L95)/(K95-H95),"")),"")</f>
        <v/>
      </c>
      <c r="Q95">
        <f>M95-P95</f>
        <v/>
      </c>
    </row>
    <row r="96">
      <c r="A96" t="n">
        <v>95</v>
      </c>
      <c r="C96">
        <f>IF(B96="","",TEXT(B96,"dddd"))</f>
        <v/>
      </c>
      <c r="M96">
        <f>IF(G96="Long",(I96-H96)*J96,IF(G96="Short",(H96-I96)*J96,""))</f>
        <v/>
      </c>
      <c r="N96">
        <f>IF(H96=0,"",M96/(H96*J96)*100)</f>
        <v/>
      </c>
      <c r="O96">
        <f>IF(AND(K96&lt;&gt;"",L96&lt;&gt;""),IF(G96="Long",(L96-H96)/(H96-K96),IF(G96="Short",(H96-L96)/(K96-H96),"")),"")</f>
        <v/>
      </c>
      <c r="Q96">
        <f>M96-P96</f>
        <v/>
      </c>
    </row>
    <row r="97">
      <c r="A97" t="n">
        <v>96</v>
      </c>
      <c r="C97">
        <f>IF(B97="","",TEXT(B97,"dddd"))</f>
        <v/>
      </c>
      <c r="M97">
        <f>IF(G97="Long",(I97-H97)*J97,IF(G97="Short",(H97-I97)*J97,""))</f>
        <v/>
      </c>
      <c r="N97">
        <f>IF(H97=0,"",M97/(H97*J97)*100)</f>
        <v/>
      </c>
      <c r="O97">
        <f>IF(AND(K97&lt;&gt;"",L97&lt;&gt;""),IF(G97="Long",(L97-H97)/(H97-K97),IF(G97="Short",(H97-L97)/(K97-H97),"")),"")</f>
        <v/>
      </c>
      <c r="Q97">
        <f>M97-P97</f>
        <v/>
      </c>
    </row>
    <row r="98">
      <c r="A98" t="n">
        <v>97</v>
      </c>
      <c r="C98">
        <f>IF(B98="","",TEXT(B98,"dddd"))</f>
        <v/>
      </c>
      <c r="M98">
        <f>IF(G98="Long",(I98-H98)*J98,IF(G98="Short",(H98-I98)*J98,""))</f>
        <v/>
      </c>
      <c r="N98">
        <f>IF(H98=0,"",M98/(H98*J98)*100)</f>
        <v/>
      </c>
      <c r="O98">
        <f>IF(AND(K98&lt;&gt;"",L98&lt;&gt;""),IF(G98="Long",(L98-H98)/(H98-K98),IF(G98="Short",(H98-L98)/(K98-H98),"")),"")</f>
        <v/>
      </c>
      <c r="Q98">
        <f>M98-P98</f>
        <v/>
      </c>
    </row>
    <row r="99">
      <c r="A99" t="n">
        <v>98</v>
      </c>
      <c r="C99">
        <f>IF(B99="","",TEXT(B99,"dddd"))</f>
        <v/>
      </c>
      <c r="M99">
        <f>IF(G99="Long",(I99-H99)*J99,IF(G99="Short",(H99-I99)*J99,""))</f>
        <v/>
      </c>
      <c r="N99">
        <f>IF(H99=0,"",M99/(H99*J99)*100)</f>
        <v/>
      </c>
      <c r="O99">
        <f>IF(AND(K99&lt;&gt;"",L99&lt;&gt;""),IF(G99="Long",(L99-H99)/(H99-K99),IF(G99="Short",(H99-L99)/(K99-H99),"")),"")</f>
        <v/>
      </c>
      <c r="Q99">
        <f>M99-P99</f>
        <v/>
      </c>
    </row>
    <row r="100">
      <c r="A100" t="n">
        <v>99</v>
      </c>
      <c r="C100">
        <f>IF(B100="","",TEXT(B100,"dddd"))</f>
        <v/>
      </c>
      <c r="M100">
        <f>IF(G100="Long",(I100-H100)*J100,IF(G100="Short",(H100-I100)*J100,""))</f>
        <v/>
      </c>
      <c r="N100">
        <f>IF(H100=0,"",M100/(H100*J100)*100)</f>
        <v/>
      </c>
      <c r="O100">
        <f>IF(AND(K100&lt;&gt;"",L100&lt;&gt;""),IF(G100="Long",(L100-H100)/(H100-K100),IF(G100="Short",(H100-L100)/(K100-H100),"")),"")</f>
        <v/>
      </c>
      <c r="Q100">
        <f>M100-P100</f>
        <v/>
      </c>
    </row>
    <row r="101">
      <c r="A101" t="n">
        <v>100</v>
      </c>
      <c r="C101">
        <f>IF(B101="","",TEXT(B101,"dddd"))</f>
        <v/>
      </c>
      <c r="M101">
        <f>IF(G101="Long",(I101-H101)*J101,IF(G101="Short",(H101-I101)*J101,""))</f>
        <v/>
      </c>
      <c r="N101">
        <f>IF(H101=0,"",M101/(H101*J101)*100)</f>
        <v/>
      </c>
      <c r="O101">
        <f>IF(AND(K101&lt;&gt;"",L101&lt;&gt;""),IF(G101="Long",(L101-H101)/(H101-K101),IF(G101="Short",(H101-L101)/(K101-H101),"")),"")</f>
        <v/>
      </c>
      <c r="Q101">
        <f>M101-P101</f>
        <v/>
      </c>
    </row>
  </sheetData>
  <conditionalFormatting sqref="M2:M100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Q2:Q1000">
    <cfRule type="cellIs" priority="3" operator="greaterThan" dxfId="0">
      <formula>0</formula>
    </cfRule>
    <cfRule type="cellIs" priority="4" operator="lessThan" dxfId="1">
      <formula>0</formula>
    </cfRule>
  </conditionalFormatting>
  <dataValidations count="1">
    <dataValidation sqref="G2:G1000" showDropDown="0" showInputMessage="0" showErrorMessage="0" allowBlank="1" type="list">
      <formula1>"Long,Short"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" customWidth="1" min="3" max="3"/>
    <col width="25" customWidth="1" min="4" max="4"/>
    <col width="30" customWidth="1" min="5" max="5"/>
  </cols>
  <sheetData>
    <row r="1">
      <c r="A1" s="2" t="inlineStr">
        <is>
          <t>WEEKLY TRADING SUMMARY</t>
        </is>
      </c>
    </row>
    <row r="3">
      <c r="A3" s="3" t="inlineStr">
        <is>
          <t>Week Starting:</t>
        </is>
      </c>
    </row>
    <row r="5">
      <c r="A5" s="4" t="inlineStr">
        <is>
          <t>KEY METRICS</t>
        </is>
      </c>
      <c r="D5" s="4" t="inlineStr">
        <is>
          <t>WEEKLY GOALS &amp; REVIEW</t>
        </is>
      </c>
    </row>
    <row r="6">
      <c r="A6" s="3" t="inlineStr">
        <is>
          <t>Total Trades:</t>
        </is>
      </c>
      <c r="B6">
        <f>COUNTA('Trade Log'!A:A)-1</f>
        <v/>
      </c>
      <c r="D6" s="3" t="inlineStr">
        <is>
          <t>Daily Profit Target (R):</t>
        </is>
      </c>
    </row>
    <row r="7">
      <c r="A7" s="3" t="inlineStr">
        <is>
          <t>Winning Trades:</t>
        </is>
      </c>
      <c r="B7">
        <f>COUNTIF('Trade Log'!M:M,"&gt;0")</f>
        <v/>
      </c>
      <c r="D7" s="3" t="inlineStr">
        <is>
          <t>Daily Loss Limit (R):</t>
        </is>
      </c>
    </row>
    <row r="8">
      <c r="A8" s="3" t="inlineStr">
        <is>
          <t>Losing Trades:</t>
        </is>
      </c>
      <c r="B8">
        <f>COUNTIF('Trade Log'!M:M,"&lt;0")</f>
        <v/>
      </c>
      <c r="D8" s="3" t="inlineStr">
        <is>
          <t>Max Trades Per Day:</t>
        </is>
      </c>
    </row>
    <row r="9">
      <c r="A9" s="3" t="inlineStr">
        <is>
          <t>Win Rate (%):</t>
        </is>
      </c>
      <c r="B9" s="5">
        <f>IF(B6=0,0,B7/B6*100)</f>
        <v/>
      </c>
      <c r="D9" s="3" t="inlineStr">
        <is>
          <t>Focus Setup:</t>
        </is>
      </c>
    </row>
    <row r="10">
      <c r="A10" s="3" t="inlineStr"/>
      <c r="D10" s="3" t="inlineStr"/>
    </row>
    <row r="11">
      <c r="A11" s="3" t="inlineStr">
        <is>
          <t>Total P&amp;L (R):</t>
        </is>
      </c>
      <c r="B11" s="11">
        <f>SUM('Trade Log'!Q:Q)</f>
        <v/>
      </c>
      <c r="D11" s="3" t="inlineStr">
        <is>
          <t>What Went Well:</t>
        </is>
      </c>
    </row>
    <row r="12">
      <c r="A12" s="3" t="inlineStr">
        <is>
          <t>Total Fees (R):</t>
        </is>
      </c>
      <c r="B12" s="11">
        <f>SUM('Trade Log'!P:P)</f>
        <v/>
      </c>
      <c r="D12" s="3" t="inlineStr"/>
    </row>
    <row r="13">
      <c r="A13" s="3" t="inlineStr">
        <is>
          <t>Net P&amp;L (R):</t>
        </is>
      </c>
      <c r="B13" s="11">
        <f>B11-B12</f>
        <v/>
      </c>
      <c r="D13" s="3" t="inlineStr">
        <is>
          <t>What Needs Improvement:</t>
        </is>
      </c>
    </row>
    <row r="14">
      <c r="A14" s="3" t="inlineStr"/>
      <c r="D14" s="3" t="inlineStr"/>
    </row>
    <row r="15">
      <c r="A15" s="3" t="inlineStr">
        <is>
          <t>Average Win (R):</t>
        </is>
      </c>
      <c r="B15" s="11">
        <f>AVERAGEIF('Trade Log'!M:M,"&gt;0",'Trade Log'!M:M)</f>
        <v/>
      </c>
      <c r="D15" s="3" t="inlineStr">
        <is>
          <t>Key Lessons:</t>
        </is>
      </c>
    </row>
    <row r="16">
      <c r="A16" s="3" t="inlineStr">
        <is>
          <t>Average Loss (R):</t>
        </is>
      </c>
      <c r="B16" s="11">
        <f>AVERAGEIF('Trade Log'!M:M,"&lt;0",'Trade Log'!M:M)</f>
        <v/>
      </c>
    </row>
    <row r="17">
      <c r="A17" s="3" t="inlineStr">
        <is>
          <t>Avg R:R Ratio:</t>
        </is>
      </c>
      <c r="B17" s="11">
        <f>AVERAGE('Trade Log'!O:O)</f>
        <v/>
      </c>
    </row>
    <row r="18">
      <c r="A18" s="3" t="inlineStr">
        <is>
          <t>Profit Factor:</t>
        </is>
      </c>
      <c r="B18" s="11">
        <f>IF(ABS(B16)=0,0,B15/ABS(B16))</f>
        <v/>
      </c>
    </row>
    <row r="19">
      <c r="A19" s="3" t="inlineStr"/>
    </row>
    <row r="20">
      <c r="A20" s="3" t="inlineStr">
        <is>
          <t>Largest Win (R):</t>
        </is>
      </c>
      <c r="B20" s="11">
        <f>MAX('Trade Log'!Q:Q)</f>
        <v/>
      </c>
    </row>
    <row r="21">
      <c r="A21" s="3" t="inlineStr">
        <is>
          <t>Largest Loss (R):</t>
        </is>
      </c>
      <c r="B21" s="11">
        <f>MIN('Trade Log'!Q:Q)</f>
        <v/>
      </c>
    </row>
  </sheetData>
  <mergeCells count="1">
    <mergeCell ref="A1:D1"/>
  </mergeCells>
  <conditionalFormatting sqref="B13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8" customWidth="1" min="5" max="5"/>
  </cols>
  <sheetData>
    <row r="1">
      <c r="A1" s="2" t="inlineStr">
        <is>
          <t>MONTHLY TRADING SUMMARY</t>
        </is>
      </c>
    </row>
    <row r="3">
      <c r="A3" s="3" t="inlineStr">
        <is>
          <t>Month/Year:</t>
        </is>
      </c>
    </row>
    <row r="5">
      <c r="A5" s="6" t="inlineStr">
        <is>
          <t>Week</t>
        </is>
      </c>
      <c r="B5" s="6" t="inlineStr">
        <is>
          <t>Trades</t>
        </is>
      </c>
      <c r="C5" s="6" t="inlineStr">
        <is>
          <t>Win Rate %</t>
        </is>
      </c>
      <c r="D5" s="6" t="inlineStr">
        <is>
          <t>Net P&amp;L (R)</t>
        </is>
      </c>
      <c r="E5" s="6" t="inlineStr">
        <is>
          <t>Cumulative P&amp;L (R)</t>
        </is>
      </c>
    </row>
    <row r="6">
      <c r="A6" t="inlineStr">
        <is>
          <t>Week 1</t>
        </is>
      </c>
      <c r="D6" s="11" t="inlineStr"/>
      <c r="E6" s="11">
        <f>SUM($D$6:D6)</f>
        <v/>
      </c>
    </row>
    <row r="7">
      <c r="A7" t="inlineStr">
        <is>
          <t>Week 2</t>
        </is>
      </c>
      <c r="D7" s="11" t="inlineStr"/>
      <c r="E7" s="11">
        <f>SUM($D$6:D7)</f>
        <v/>
      </c>
    </row>
    <row r="8">
      <c r="A8" t="inlineStr">
        <is>
          <t>Week 3</t>
        </is>
      </c>
      <c r="D8" s="11" t="inlineStr"/>
      <c r="E8" s="11">
        <f>SUM($D$6:D8)</f>
        <v/>
      </c>
    </row>
    <row r="9">
      <c r="A9" t="inlineStr">
        <is>
          <t>Week 4</t>
        </is>
      </c>
      <c r="D9" s="11" t="inlineStr"/>
      <c r="E9" s="11">
        <f>SUM($D$6:D9)</f>
        <v/>
      </c>
    </row>
    <row r="10">
      <c r="A10" t="inlineStr">
        <is>
          <t>Week 5</t>
        </is>
      </c>
      <c r="D10" s="11" t="inlineStr"/>
      <c r="E10" s="11">
        <f>SUM($D$6:D10)</f>
        <v/>
      </c>
    </row>
    <row r="11">
      <c r="A11" s="3" t="inlineStr">
        <is>
          <t>MONTHLY TOTAL</t>
        </is>
      </c>
      <c r="B11">
        <f>SUM(B6:B10)</f>
        <v/>
      </c>
      <c r="D11" s="11">
        <f>SUM(D6:D10)</f>
        <v/>
      </c>
      <c r="E11" s="11">
        <f>E10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5" customWidth="1" min="4" max="4"/>
    <col width="12" customWidth="1" min="6" max="6"/>
    <col width="12" customWidth="1" min="7" max="7"/>
    <col width="15" customWidth="1" min="8" max="8"/>
    <col width="15" customWidth="1" min="9" max="9"/>
  </cols>
  <sheetData>
    <row r="1">
      <c r="A1" s="2" t="inlineStr">
        <is>
          <t>TRADING STATISTICS &amp; ANALYTICS</t>
        </is>
      </c>
    </row>
    <row r="3">
      <c r="A3" s="7" t="inlineStr">
        <is>
          <t>PERFORMANCE BY SETUP/STRATEGY</t>
        </is>
      </c>
      <c r="F3" s="7" t="inlineStr">
        <is>
          <t>TOP SYMBOLS</t>
        </is>
      </c>
    </row>
    <row r="5">
      <c r="A5" s="8" t="inlineStr">
        <is>
          <t>Setup/Strategy</t>
        </is>
      </c>
      <c r="B5" s="8" t="inlineStr">
        <is>
          <t># Trades</t>
        </is>
      </c>
      <c r="C5" s="8" t="inlineStr">
        <is>
          <t>Win Rate %</t>
        </is>
      </c>
      <c r="D5" s="8" t="inlineStr">
        <is>
          <t>Total P&amp;L (R)</t>
        </is>
      </c>
      <c r="F5" s="8" t="inlineStr">
        <is>
          <t>Symbol</t>
        </is>
      </c>
      <c r="G5" s="8" t="inlineStr">
        <is>
          <t># Trades</t>
        </is>
      </c>
      <c r="H5" s="8" t="inlineStr">
        <is>
          <t>Win Rate %</t>
        </is>
      </c>
      <c r="I5" s="8" t="inlineStr">
        <is>
          <t>Net P&amp;L (R)</t>
        </is>
      </c>
    </row>
    <row r="6">
      <c r="A6" t="inlineStr">
        <is>
          <t>Breakout</t>
        </is>
      </c>
      <c r="B6">
        <f>COUNTIF('Trade Log'!R:R,A6)</f>
        <v/>
      </c>
      <c r="C6">
        <f>IF(B6=0,0,COUNTIFS('Trade Log'!R:R,A6,'Trade Log'!M:M,"&gt;0")/B6*100)</f>
        <v/>
      </c>
      <c r="D6" s="11">
        <f>SUMIF('Trade Log'!R:R,A6,'Trade Log'!Q:Q)</f>
        <v/>
      </c>
    </row>
    <row r="7">
      <c r="A7" t="inlineStr">
        <is>
          <t>Pullback</t>
        </is>
      </c>
      <c r="B7">
        <f>COUNTIF('Trade Log'!R:R,A7)</f>
        <v/>
      </c>
      <c r="C7">
        <f>IF(B7=0,0,COUNTIFS('Trade Log'!R:R,A7,'Trade Log'!M:M,"&gt;0")/B7*100)</f>
        <v/>
      </c>
      <c r="D7" s="11">
        <f>SUMIF('Trade Log'!R:R,A7,'Trade Log'!Q:Q)</f>
        <v/>
      </c>
    </row>
    <row r="8">
      <c r="A8" t="inlineStr">
        <is>
          <t>Reversal</t>
        </is>
      </c>
      <c r="B8">
        <f>COUNTIF('Trade Log'!R:R,A8)</f>
        <v/>
      </c>
      <c r="C8">
        <f>IF(B8=0,0,COUNTIFS('Trade Log'!R:R,A8,'Trade Log'!M:M,"&gt;0")/B8*100)</f>
        <v/>
      </c>
      <c r="D8" s="11">
        <f>SUMIF('Trade Log'!R:R,A8,'Trade Log'!Q:Q)</f>
        <v/>
      </c>
    </row>
    <row r="9">
      <c r="A9" t="inlineStr">
        <is>
          <t>Range</t>
        </is>
      </c>
      <c r="B9">
        <f>COUNTIF('Trade Log'!R:R,A9)</f>
        <v/>
      </c>
      <c r="C9">
        <f>IF(B9=0,0,COUNTIFS('Trade Log'!R:R,A9,'Trade Log'!M:M,"&gt;0")/B9*100)</f>
        <v/>
      </c>
      <c r="D9" s="11">
        <f>SUMIF('Trade Log'!R:R,A9,'Trade Log'!Q:Q)</f>
        <v/>
      </c>
    </row>
    <row r="10">
      <c r="A10" t="inlineStr">
        <is>
          <t>Trend Follow</t>
        </is>
      </c>
      <c r="B10">
        <f>COUNTIF('Trade Log'!R:R,A10)</f>
        <v/>
      </c>
      <c r="C10">
        <f>IF(B10=0,0,COUNTIFS('Trade Log'!R:R,A10,'Trade Log'!M:M,"&gt;0")/B10*100)</f>
        <v/>
      </c>
      <c r="D10" s="11">
        <f>SUMIF('Trade Log'!R:R,A10,'Trade Log'!Q:Q)</f>
        <v/>
      </c>
    </row>
    <row r="11">
      <c r="A11" t="inlineStr">
        <is>
          <t>Other</t>
        </is>
      </c>
      <c r="B11">
        <f>COUNTIF('Trade Log'!R:R,A11)</f>
        <v/>
      </c>
      <c r="C11">
        <f>IF(B11=0,0,COUNTIFS('Trade Log'!R:R,A11,'Trade Log'!M:M,"&gt;0")/B11*100)</f>
        <v/>
      </c>
      <c r="D11" s="11">
        <f>SUMIF('Trade Log'!R:R,A11,'Trade Log'!Q:Q)</f>
        <v/>
      </c>
    </row>
    <row r="13">
      <c r="A13" s="7" t="inlineStr">
        <is>
          <t>PERFORMANCE BY TIME OF DAY</t>
        </is>
      </c>
    </row>
    <row r="15">
      <c r="A15" s="8" t="inlineStr">
        <is>
          <t>Time Period</t>
        </is>
      </c>
      <c r="B15" s="8" t="inlineStr">
        <is>
          <t># Trades</t>
        </is>
      </c>
      <c r="C15" s="8" t="inlineStr">
        <is>
          <t>Win Rate %</t>
        </is>
      </c>
      <c r="D15" s="8" t="inlineStr">
        <is>
          <t>Avg P&amp;L (R)</t>
        </is>
      </c>
    </row>
    <row r="16">
      <c r="A16" t="inlineStr">
        <is>
          <t>9:30-11:00 AM</t>
        </is>
      </c>
    </row>
    <row r="17">
      <c r="A17" t="inlineStr">
        <is>
          <t>11:00-1:00 PM</t>
        </is>
      </c>
    </row>
    <row r="18">
      <c r="A18" t="inlineStr">
        <is>
          <t>1:00-3:00 PM</t>
        </is>
      </c>
    </row>
    <row r="19">
      <c r="A19" t="inlineStr">
        <is>
          <t>3:00-4:00 PM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15" customWidth="1" min="5" max="5"/>
    <col width="30" customWidth="1" min="6" max="6"/>
  </cols>
  <sheetData>
    <row r="1">
      <c r="A1" s="2" t="inlineStr">
        <is>
          <t>TRADING SETUPS &amp; PATTERNS</t>
        </is>
      </c>
    </row>
    <row r="3">
      <c r="A3" s="9" t="inlineStr">
        <is>
          <t>Document your trading setups, entry/exit criteria, and success rate</t>
        </is>
      </c>
    </row>
    <row r="5">
      <c r="A5" s="10" t="inlineStr">
        <is>
          <t>Setup Name</t>
        </is>
      </c>
      <c r="B5" s="10" t="inlineStr">
        <is>
          <t>Description</t>
        </is>
      </c>
      <c r="C5" s="10" t="inlineStr">
        <is>
          <t>Entry Criteria</t>
        </is>
      </c>
      <c r="D5" s="10" t="inlineStr">
        <is>
          <t>Exit Criteria</t>
        </is>
      </c>
      <c r="E5" s="10" t="inlineStr">
        <is>
          <t>Win Rate Target</t>
        </is>
      </c>
      <c r="F5" s="10" t="inlineStr">
        <is>
          <t>Notes</t>
        </is>
      </c>
    </row>
    <row r="6">
      <c r="A6" t="inlineStr">
        <is>
          <t>Breakout</t>
        </is>
      </c>
      <c r="B6" t="inlineStr">
        <is>
          <t>Price breaks above resistance</t>
        </is>
      </c>
      <c r="C6" t="inlineStr">
        <is>
          <t>Volume spike, strong candle</t>
        </is>
      </c>
      <c r="D6" t="inlineStr">
        <is>
          <t>Profit target or trailing stop</t>
        </is>
      </c>
      <c r="E6" t="inlineStr">
        <is>
          <t>60%</t>
        </is>
      </c>
    </row>
    <row r="7">
      <c r="A7" t="inlineStr">
        <is>
          <t>Pullback</t>
        </is>
      </c>
      <c r="B7" t="inlineStr">
        <is>
          <t>Buy dip in uptrend</t>
        </is>
      </c>
      <c r="C7" t="inlineStr">
        <is>
          <t>Price touches moving average</t>
        </is>
      </c>
      <c r="D7" t="inlineStr">
        <is>
          <t>Resistance or 2:1 R:R</t>
        </is>
      </c>
      <c r="E7" t="inlineStr">
        <is>
          <t>65%</t>
        </is>
      </c>
    </row>
    <row r="8">
      <c r="A8" t="inlineStr">
        <is>
          <t>Reversal</t>
        </is>
      </c>
      <c r="B8" t="inlineStr">
        <is>
          <t>Trend reversal pattern</t>
        </is>
      </c>
      <c r="C8" t="inlineStr">
        <is>
          <t>Pattern completion, divergence</t>
        </is>
      </c>
      <c r="D8" t="inlineStr">
        <is>
          <t>Previous swing point</t>
        </is>
      </c>
      <c r="E8" t="inlineStr">
        <is>
          <t>55%</t>
        </is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2026-01-04T13:28:51Z</dcterms:created>
  <dcterms:modified xsi:type="dcterms:W3CDTF">2026-01-04T13:45:44Z</dcterms:modified>
</cp:coreProperties>
</file>